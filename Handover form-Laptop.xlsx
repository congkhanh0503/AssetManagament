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Amp\Infra\Helpdesk\BanGiaoThietBi\"/>
    </mc:Choice>
  </mc:AlternateContent>
  <xr:revisionPtr revIDLastSave="0" documentId="13_ncr:1_{43ECDA3C-B4B9-4CC1-BD5E-E3CB02452FC1}" xr6:coauthVersionLast="47" xr6:coauthVersionMax="47" xr10:uidLastSave="{00000000-0000-0000-0000-000000000000}"/>
  <bookViews>
    <workbookView xWindow="-120" yWindow="-120" windowWidth="29040" windowHeight="17520" activeTab="2" xr2:uid="{A0CC385A-84E3-4E6C-BE8C-25E3834FB513}"/>
  </bookViews>
  <sheets>
    <sheet name="BG-PC" sheetId="1" r:id="rId1"/>
    <sheet name="Infomation PC" sheetId="2" r:id="rId2"/>
    <sheet name="BG-PC (2)" sheetId="3" r:id="rId3"/>
  </sheets>
  <externalReferences>
    <externalReference r:id="rId4"/>
    <externalReference r:id="rId5"/>
    <externalReference r:id="rId6"/>
  </externalReferences>
  <definedNames>
    <definedName name="_xlnm.Print_Area" localSheetId="0">'BG-PC'!$A$2:$F$35</definedName>
    <definedName name="_xlnm.Print_Area" localSheetId="2">'BG-PC (2)'!$A$2:$F$35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6" i="3" l="1"/>
  <c r="J10" i="3"/>
  <c r="M12" i="3"/>
  <c r="M11" i="3"/>
  <c r="M10" i="3"/>
  <c r="B15" i="3" l="1"/>
  <c r="D14" i="3"/>
  <c r="F14" i="3"/>
  <c r="B14" i="3"/>
  <c r="F10" i="3"/>
  <c r="B10" i="3"/>
  <c r="F9" i="3"/>
  <c r="D9" i="3"/>
  <c r="B9" i="3"/>
  <c r="D8" i="3"/>
  <c r="B8" i="3"/>
  <c r="B5" i="3"/>
  <c r="M10" i="1"/>
  <c r="M11" i="1"/>
  <c r="M12" i="1"/>
  <c r="B14" i="1" l="1"/>
  <c r="J16" i="1"/>
  <c r="D8" i="1" s="1"/>
  <c r="D9" i="1"/>
  <c r="D14" i="1"/>
  <c r="B15" i="1"/>
  <c r="B8" i="1"/>
  <c r="B9" i="1"/>
  <c r="F10" i="1"/>
  <c r="F9" i="1"/>
  <c r="B10" i="1"/>
  <c r="B5" i="1"/>
  <c r="F14" i="1" l="1"/>
</calcChain>
</file>

<file path=xl/sharedStrings.xml><?xml version="1.0" encoding="utf-8"?>
<sst xmlns="http://schemas.openxmlformats.org/spreadsheetml/2006/main" count="125" uniqueCount="54">
  <si>
    <t>Confirm equipment delivery information</t>
  </si>
  <si>
    <t>Xác nhận thông tin cung cấp thiết bị</t>
  </si>
  <si>
    <t>Delivery side</t>
  </si>
  <si>
    <t xml:space="preserve">  Recipient</t>
  </si>
  <si>
    <t>Handover Date</t>
  </si>
  <si>
    <t>Return date</t>
  </si>
  <si>
    <t>COMPUTER SPECS</t>
  </si>
  <si>
    <t>Model</t>
  </si>
  <si>
    <t>Service Tag</t>
  </si>
  <si>
    <t>CPU</t>
  </si>
  <si>
    <t>Asset Number</t>
  </si>
  <si>
    <t>RAM</t>
  </si>
  <si>
    <t>OS</t>
  </si>
  <si>
    <t>Mouse</t>
  </si>
  <si>
    <t>Disk</t>
  </si>
  <si>
    <t>Keyboard</t>
  </si>
  <si>
    <t>USER INFORMATION</t>
  </si>
  <si>
    <t>Employee ID</t>
  </si>
  <si>
    <t>Full Name</t>
  </si>
  <si>
    <t>Department</t>
  </si>
  <si>
    <t>Account/Email</t>
  </si>
  <si>
    <t>Owner type</t>
  </si>
  <si>
    <t>User’s Signature</t>
  </si>
  <si>
    <t>Manager Confirm</t>
  </si>
  <si>
    <t>END USER AGREEMENT</t>
  </si>
  <si>
    <t>Hardware</t>
  </si>
  <si>
    <t>No changing without permission in all hardware parts such as CPU, RAM, Disk, Wifi adapter, internal mouse, keyboard…</t>
  </si>
  <si>
    <t>Software</t>
  </si>
  <si>
    <t xml:space="preserve">No illegal installation and usage of softwares. </t>
  </si>
  <si>
    <t xml:space="preserve">Cracked/ Patched softwares are prohibited. </t>
  </si>
  <si>
    <t>Additional softwares must be reviewed by local IT department to be installed.</t>
  </si>
  <si>
    <t>IT confirm</t>
  </si>
  <si>
    <t>1. End User - have carried out the required backup action of data as I am solely responsible for my data.</t>
  </si>
  <si>
    <t>2. End User - am provided with correct computer and hardwares (including all corresponding chargers) listed above.</t>
  </si>
  <si>
    <t>3. End User - understand and agree to the hardware/software compatibility concerns that is mentioned below:</t>
  </si>
  <si>
    <t>5. End User - take the responsibility to return all the hardwares that I received as listed above by the end of my last working day.</t>
  </si>
  <si>
    <t>6. End User - understand the above terms and commit to complying with them</t>
  </si>
  <si>
    <t>4. In the event that the supplied equipment is lost or damaged, the End User shall bear full responsibility and shall compensate the Company for the repair costs or replace it with another machine of the same model and specifications.</t>
  </si>
  <si>
    <t>Host Name</t>
  </si>
  <si>
    <t>Hostname</t>
  </si>
  <si>
    <t>Window 11</t>
  </si>
  <si>
    <t>Core Ultra 5-125U</t>
  </si>
  <si>
    <t>Ram</t>
  </si>
  <si>
    <t>Display</t>
  </si>
  <si>
    <t>14-inch</t>
  </si>
  <si>
    <t>Single</t>
  </si>
  <si>
    <t>N/A</t>
  </si>
  <si>
    <t>HP Elitebook 640 G11</t>
  </si>
  <si>
    <t>Remark</t>
  </si>
  <si>
    <t>Email</t>
  </si>
  <si>
    <t>Service</t>
  </si>
  <si>
    <t>TTH-NB0065</t>
  </si>
  <si>
    <t>CBS0076</t>
  </si>
  <si>
    <t>CBS0015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</si>
</sst>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22">
    <font>
      <sz val="11"/>
      <color theme="1"/>
      <name val="Calibri"/>
      <family val="2"/>
      <scheme val="minor"/>
    </font>
    <font>
      <sz val="11"/>
      <color theme="1"/>
      <name val="Calibri"/>
      <family val="2"/>
      <scheme val="minor"/>
    </font>
    <font>
      <sz val="11"/>
      <name val="돋움"/>
      <family val="3"/>
      <charset val="129"/>
    </font>
    <font>
      <b/>
      <u/>
      <sz val="22"/>
      <name val="Times New Roman"/>
      <family val="1"/>
    </font>
    <font>
      <sz val="11"/>
      <name val="Calibri"/>
      <family val="3"/>
      <charset val="129"/>
      <scheme val="minor"/>
    </font>
    <font>
      <b/>
      <sz val="22"/>
      <name val="Times New Roman"/>
      <family val="1"/>
    </font>
    <font>
      <b/>
      <sz val="10"/>
      <name val="Times New Roman"/>
      <family val="1"/>
    </font>
    <font>
      <sz val="10"/>
      <color rgb="FF000000"/>
      <name val="Times New Roman"/>
      <family val="1"/>
    </font>
    <font>
      <sz val="10"/>
      <name val="Times New Roman"/>
      <family val="1"/>
    </font>
    <font>
      <sz val="10"/>
      <name val="Calibri"/>
      <family val="3"/>
      <charset val="129"/>
      <scheme val="minor"/>
    </font>
    <font>
      <b/>
      <sz val="12"/>
      <color rgb="FF993300"/>
      <name val="Arial"/>
      <family val="2"/>
    </font>
    <font>
      <b/>
      <sz val="12"/>
      <color theme="1"/>
      <name val="Arial"/>
      <family val="2"/>
    </font>
    <font>
      <sz val="12"/>
      <color theme="1"/>
      <name val="Calibri"/>
      <family val="2"/>
      <scheme val="minor"/>
    </font>
    <font>
      <b/>
      <sz val="11"/>
      <name val="Times New Roman"/>
      <family val="1"/>
    </font>
    <font>
      <sz val="11"/>
      <color rgb="FF000000"/>
      <name val="Times New Roman"/>
      <family val="1"/>
    </font>
    <font>
      <sz val="11"/>
      <color theme="1"/>
      <name val="Times New Roman"/>
      <family val="1"/>
    </font>
    <font>
      <b/>
      <sz val="14"/>
      <name val="Times New Roman"/>
      <family val="1"/>
    </font>
    <font>
      <sz val="10"/>
      <color theme="1"/>
      <name val="Times New Roman"/>
      <family val="1"/>
    </font>
    <font>
      <sz val="11"/>
      <color theme="1"/>
      <name val="Calibri"/>
      <family val="1"/>
      <charset val="136"/>
      <scheme val="minor"/>
    </font>
    <font>
      <sz val="12"/>
      <color rgb="FF000000"/>
      <name val="Times New Roman"/>
      <family val="1"/>
    </font>
    <font>
      <u/>
      <sz val="11"/>
      <color theme="10"/>
      <name val="Calibri"/>
      <family val="2"/>
      <scheme val="minor"/>
    </font>
    <font>
      <sz val="11"/>
      <color rgb="FF081B3A"/>
      <name val="SegoeuiPc"/>
      <charset val="1"/>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FF"/>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5">
    <xf numFmtId="0" fontId="0" fillId="0" borderId="0"/>
    <xf numFmtId="0" fontId="2" fillId="0" borderId="0">
      <alignment vertical="center"/>
    </xf>
    <xf numFmtId="0" fontId="1" fillId="0" borderId="0"/>
    <xf numFmtId="0" fontId="18" fillId="0" borderId="0"/>
    <xf numFmtId="0" fontId="20" fillId="0" borderId="0" applyNumberFormat="0" applyFill="0" applyBorder="0" applyAlignment="0" applyProtection="0"/>
  </cellStyleXfs>
  <cellXfs count="34">
    <xf numFmtId="0" fontId="0" fillId="0" borderId="0" xfId="0"/>
    <xf numFmtId="0" fontId="4" fillId="0" borderId="0" xfId="1" applyFont="1">
      <alignment vertical="center"/>
    </xf>
    <xf numFmtId="0" fontId="5" fillId="0" borderId="0" xfId="1" applyFont="1" applyAlignment="1">
      <alignment horizontal="center" vertical="center"/>
    </xf>
    <xf numFmtId="0" fontId="9" fillId="0" borderId="0" xfId="1" applyFont="1">
      <alignment vertical="center"/>
    </xf>
    <xf numFmtId="0" fontId="7" fillId="3" borderId="1" xfId="2" applyFont="1" applyFill="1" applyBorder="1" applyAlignment="1">
      <alignment vertical="center" wrapText="1"/>
    </xf>
    <xf numFmtId="0" fontId="7" fillId="3" borderId="0" xfId="2" applyFont="1" applyFill="1" applyAlignment="1">
      <alignment vertical="center" wrapText="1"/>
    </xf>
    <xf numFmtId="0" fontId="6" fillId="0" borderId="0" xfId="1" applyFont="1" applyAlignment="1">
      <alignment vertical="center" wrapText="1"/>
    </xf>
    <xf numFmtId="0" fontId="11" fillId="0" borderId="1" xfId="0" applyFont="1" applyBorder="1" applyAlignment="1">
      <alignment horizontal="center" vertical="center"/>
    </xf>
    <xf numFmtId="0" fontId="12" fillId="0" borderId="0" xfId="0" applyFont="1" applyAlignment="1">
      <alignment vertical="center"/>
    </xf>
    <xf numFmtId="0" fontId="13" fillId="2" borderId="1" xfId="1" applyFont="1" applyFill="1" applyBorder="1" applyAlignment="1">
      <alignment horizontal="center" vertical="center" wrapText="1"/>
    </xf>
    <xf numFmtId="0" fontId="14" fillId="3" borderId="1" xfId="2" applyFont="1" applyFill="1" applyBorder="1" applyAlignment="1">
      <alignment horizontal="center" vertical="center" wrapText="1"/>
    </xf>
    <xf numFmtId="0" fontId="15" fillId="3" borderId="1" xfId="1" applyFont="1" applyFill="1" applyBorder="1" applyAlignment="1">
      <alignment horizontal="center" vertical="center"/>
    </xf>
    <xf numFmtId="0" fontId="17" fillId="3" borderId="1" xfId="3" applyFont="1" applyFill="1" applyBorder="1" applyAlignment="1">
      <alignment horizontal="center" vertical="center" wrapText="1"/>
    </xf>
    <xf numFmtId="0" fontId="0" fillId="0" borderId="1" xfId="0" applyBorder="1"/>
    <xf numFmtId="49" fontId="8" fillId="0" borderId="1" xfId="0" applyNumberFormat="1" applyFont="1" applyBorder="1" applyAlignment="1">
      <alignment vertical="center" wrapText="1"/>
    </xf>
    <xf numFmtId="0" fontId="0" fillId="0" borderId="4" xfId="0" applyBorder="1"/>
    <xf numFmtId="0" fontId="17" fillId="3" borderId="1" xfId="0" applyFont="1" applyFill="1" applyBorder="1" applyAlignment="1">
      <alignment horizontal="left" vertical="center"/>
    </xf>
    <xf numFmtId="0" fontId="17" fillId="3"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20" fillId="0" borderId="2" xfId="4" applyBorder="1" applyAlignment="1">
      <alignment horizontal="center" vertical="center" wrapText="1"/>
    </xf>
    <xf numFmtId="0" fontId="8" fillId="0" borderId="1" xfId="1" applyFont="1" applyBorder="1" applyAlignment="1">
      <alignment horizontal="center" vertical="center"/>
    </xf>
    <xf numFmtId="0" fontId="4" fillId="0" borderId="1" xfId="1" applyFont="1" applyBorder="1" applyAlignment="1">
      <alignment horizontal="center" vertical="center"/>
    </xf>
    <xf numFmtId="0" fontId="10" fillId="0" borderId="0" xfId="0" applyFont="1" applyAlignment="1">
      <alignment horizontal="left" vertical="center" wrapText="1"/>
    </xf>
    <xf numFmtId="0" fontId="10" fillId="0" borderId="0" xfId="0" applyFont="1" applyAlignment="1">
      <alignment horizontal="left" vertical="center"/>
    </xf>
    <xf numFmtId="0" fontId="6" fillId="0" borderId="0" xfId="1" applyFont="1" applyAlignment="1">
      <alignment horizontal="left" vertical="center" wrapText="1"/>
    </xf>
    <xf numFmtId="0" fontId="11" fillId="0" borderId="1" xfId="0" applyFont="1" applyBorder="1" applyAlignment="1">
      <alignment horizontal="left" vertical="center" wrapText="1"/>
    </xf>
    <xf numFmtId="0" fontId="11" fillId="0" borderId="1" xfId="0" applyFont="1" applyBorder="1" applyAlignment="1">
      <alignment horizontal="center" vertical="center"/>
    </xf>
    <xf numFmtId="0" fontId="11" fillId="0" borderId="1" xfId="0" applyFont="1" applyBorder="1" applyAlignment="1">
      <alignment horizontal="left" vertical="center"/>
    </xf>
    <xf numFmtId="0" fontId="3" fillId="0" borderId="0" xfId="1" applyFont="1" applyAlignment="1">
      <alignment horizontal="center" vertical="center"/>
    </xf>
    <xf numFmtId="164" fontId="19" fillId="3" borderId="2" xfId="2" quotePrefix="1" applyNumberFormat="1" applyFont="1" applyFill="1" applyBorder="1" applyAlignment="1">
      <alignment horizontal="center" vertical="center" wrapText="1"/>
    </xf>
    <xf numFmtId="164" fontId="19" fillId="3" borderId="3" xfId="2" applyNumberFormat="1" applyFont="1" applyFill="1" applyBorder="1" applyAlignment="1">
      <alignment horizontal="center" vertical="center" wrapText="1"/>
    </xf>
    <xf numFmtId="0" fontId="16" fillId="2" borderId="1" xfId="1" applyFont="1" applyFill="1" applyBorder="1" applyAlignment="1">
      <alignment horizontal="center" vertical="center" wrapText="1"/>
    </xf>
    <xf numFmtId="0" fontId="16" fillId="2" borderId="0" xfId="1" applyFont="1" applyFill="1" applyAlignment="1">
      <alignment horizontal="center" vertical="center" wrapText="1"/>
    </xf>
    <xf numFmtId="0" fontId="21" fillId="0" borderId="0" xfId="0" applyFont="1" applyAlignment="1">
      <alignment vertical="center"/>
    </xf>
  </cellXfs>
  <cellStyles count="5">
    <cellStyle name="Hyperlink" xfId="4" builtinId="8"/>
    <cellStyle name="Normal" xfId="0" builtinId="0"/>
    <cellStyle name="Normal 2" xfId="1" xr:uid="{496ED9AC-36CC-4101-A11C-E272DD8DEDD4}"/>
    <cellStyle name="Normal 3" xfId="2" xr:uid="{8C7EA6DC-0910-4CBC-BF5F-28B5D0B54500}"/>
    <cellStyle name="一般 2" xfId="3" xr:uid="{94F5CA79-D894-41BD-998B-F45D331996BE}"/>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67235</xdr:colOff>
      <xdr:row>1</xdr:row>
      <xdr:rowOff>100853</xdr:rowOff>
    </xdr:from>
    <xdr:to>
      <xdr:col>1</xdr:col>
      <xdr:colOff>295522</xdr:colOff>
      <xdr:row>1</xdr:row>
      <xdr:rowOff>393139</xdr:rowOff>
    </xdr:to>
    <xdr:pic>
      <xdr:nvPicPr>
        <xdr:cNvPr id="2" name="Picture 1">
          <a:extLst>
            <a:ext uri="{FF2B5EF4-FFF2-40B4-BE49-F238E27FC236}">
              <a16:creationId xmlns:a16="http://schemas.microsoft.com/office/drawing/2014/main" id="{3C0DDA8D-0BA1-429D-A4B2-B6D34003F92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09" t="37625" r="9871" b="38739"/>
        <a:stretch/>
      </xdr:blipFill>
      <xdr:spPr bwMode="auto">
        <a:xfrm>
          <a:off x="67235" y="291353"/>
          <a:ext cx="1438522" cy="292286"/>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67235</xdr:colOff>
      <xdr:row>1</xdr:row>
      <xdr:rowOff>100853</xdr:rowOff>
    </xdr:from>
    <xdr:to>
      <xdr:col>1</xdr:col>
      <xdr:colOff>295522</xdr:colOff>
      <xdr:row>1</xdr:row>
      <xdr:rowOff>393139</xdr:rowOff>
    </xdr:to>
    <xdr:pic>
      <xdr:nvPicPr>
        <xdr:cNvPr id="2" name="Picture 1">
          <a:extLst>
            <a:ext uri="{FF2B5EF4-FFF2-40B4-BE49-F238E27FC236}">
              <a16:creationId xmlns:a16="http://schemas.microsoft.com/office/drawing/2014/main" id="{42928B83-5C0F-48CF-9B10-EECF9AC30E8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09" t="37625" r="9871" b="38739"/>
        <a:stretch/>
      </xdr:blipFill>
      <xdr:spPr bwMode="auto">
        <a:xfrm>
          <a:off x="67235" y="291353"/>
          <a:ext cx="1437962" cy="292286"/>
        </a:xfrm>
        <a:prstGeom prst="rect">
          <a:avLst/>
        </a:prstGeom>
        <a:ln>
          <a:noFill/>
        </a:ln>
        <a:extLst>
          <a:ext uri="{53640926-AAD7-44D8-BBD7-CCE9431645EC}">
            <a14:shadowObscured xmlns:a14="http://schemas.microsoft.com/office/drawing/2010/main"/>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amphenolfci-my.sharepoint.com/personal/jack_soi_amphenol-cbs_com/Documents/List%20of%20new%20employee%20for%20onboarding%20preparation.xlsx" TargetMode="External"/><Relationship Id="rId1" Type="http://schemas.openxmlformats.org/officeDocument/2006/relationships/externalLinkPath" Target="https://amphenolfci-my.sharepoint.com/personal/jack_soi_amphenol-cbs_com/Documents/List%20of%20new%20employee%20for%20onboarding%20preparation.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Z:\TTH-FACILITY\IT%20TEAMS\&#30005;&#33041;&#32479;&#35745;&#34920;-th&#7889;ng%20k&#234;%20m&#225;y%20t&#237;nh%20260331.xlsx" TargetMode="External"/><Relationship Id="rId1" Type="http://schemas.openxmlformats.org/officeDocument/2006/relationships/externalLinkPath" Target="file:///Z:\TTH-FACILITY\IT%20TEAMS\&#30005;&#33041;&#32479;&#35745;&#34920;-th&#7889;ng%20k&#234;%20m&#225;y%20t&#237;nh%20260331.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amphenolfci-my.sharepoint.com/personal/jack_soi_amphenol-cbs_com/Documents/&#30005;&#33041;&#32479;&#35745;&#34920;-th&#7889;ng%20k&#234;%20m&#225;y%20t&#237;nh%20260429.xlsx" TargetMode="External"/><Relationship Id="rId1" Type="http://schemas.openxmlformats.org/officeDocument/2006/relationships/externalLinkPath" Target="https://amphenolfci-my.sharepoint.com/personal/jack_soi_amphenol-cbs_com/Documents/&#30005;&#33041;&#32479;&#35745;&#34920;-th&#7889;ng%20k&#234;%20m&#225;y%20t&#237;nh%2026042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DL"/>
      <sheetName val="Department"/>
    </sheetNames>
    <sheetDataSet>
      <sheetData sheetId="0">
        <row r="5">
          <cell r="B5" t="str">
            <v>CBS0001</v>
          </cell>
          <cell r="C5" t="str">
            <v>Vũ Thị Hạnh</v>
          </cell>
          <cell r="D5" t="str">
            <v>武氏幸</v>
          </cell>
          <cell r="E5" t="str">
            <v>Daisy</v>
          </cell>
          <cell r="F5">
            <v>45859</v>
          </cell>
          <cell r="G5" t="str">
            <v>IDL</v>
          </cell>
          <cell r="H5" t="str">
            <v>Trưởng phòng HCNS/ HR &amp; Admin Manager</v>
          </cell>
          <cell r="I5" t="str">
            <v>Hành chính nhân sự/ HR&amp;Admin</v>
          </cell>
          <cell r="O5" t="str">
            <v>Đã hủy</v>
          </cell>
        </row>
        <row r="6">
          <cell r="B6" t="str">
            <v>CBS0002</v>
          </cell>
          <cell r="C6" t="str">
            <v>Nguyễn Thị Minh Phương</v>
          </cell>
          <cell r="D6" t="str">
            <v>阮氏明芳</v>
          </cell>
          <cell r="E6" t="str">
            <v>Serena</v>
          </cell>
          <cell r="F6">
            <v>45884</v>
          </cell>
          <cell r="G6" t="str">
            <v>IDL</v>
          </cell>
          <cell r="H6" t="str">
            <v>Chuyên viên HCNS/ HR &amp; Admin Specailist</v>
          </cell>
          <cell r="I6" t="str">
            <v>Hành chính nhân sự/ HR&amp;Admin</v>
          </cell>
          <cell r="O6" t="str">
            <v>Serena.phuong@amphenol-cbs.com</v>
          </cell>
        </row>
        <row r="7">
          <cell r="B7" t="str">
            <v>CBS0003</v>
          </cell>
          <cell r="C7" t="str">
            <v>Đỗ Đức Hiệp</v>
          </cell>
          <cell r="D7" t="str">
            <v>杜德协</v>
          </cell>
          <cell r="E7" t="str">
            <v>Ethan</v>
          </cell>
          <cell r="F7">
            <v>45908</v>
          </cell>
          <cell r="G7" t="str">
            <v>IDL</v>
          </cell>
          <cell r="H7" t="str">
            <v>Trưởng phòng cơ sở hạ tầng/ Facility manager</v>
          </cell>
          <cell r="I7" t="str">
            <v>Cơ sở hạ tầng/
Facility</v>
          </cell>
          <cell r="O7" t="str">
            <v>Đã hủy</v>
          </cell>
        </row>
        <row r="8">
          <cell r="B8" t="str">
            <v>CBS0005</v>
          </cell>
          <cell r="C8" t="str">
            <v>Nguyễn Thị Thu Hiền</v>
          </cell>
          <cell r="D8" t="str">
            <v>阮氏秋贤</v>
          </cell>
          <cell r="E8" t="str">
            <v>Tracy</v>
          </cell>
          <cell r="F8">
            <v>45910</v>
          </cell>
          <cell r="G8" t="str">
            <v>IDL</v>
          </cell>
          <cell r="H8" t="str">
            <v>Nhân viên kế toán/ Accountant staff</v>
          </cell>
          <cell r="I8" t="str">
            <v>Tài chính/
Finance</v>
          </cell>
          <cell r="O8" t="str">
            <v>Tracy.hien@amphenol-cbs.com</v>
          </cell>
        </row>
        <row r="9">
          <cell r="B9" t="str">
            <v>CBS0007</v>
          </cell>
          <cell r="C9" t="str">
            <v>Nguyễn Thị Thắm</v>
          </cell>
          <cell r="D9" t="str">
            <v>阮氏深</v>
          </cell>
          <cell r="E9" t="str">
            <v>Miranda</v>
          </cell>
          <cell r="F9">
            <v>45931</v>
          </cell>
          <cell r="G9" t="str">
            <v>IDL</v>
          </cell>
          <cell r="H9" t="str">
            <v>Nhân viên kế hoạch/ Planer</v>
          </cell>
          <cell r="I9" t="str">
            <v>Quản lý chuỗi cung ứng/ SCM</v>
          </cell>
          <cell r="L9" t="str">
            <v>x</v>
          </cell>
          <cell r="M9" t="str">
            <v>x</v>
          </cell>
          <cell r="O9" t="str">
            <v>Miranda.tham@amphenol-cbs.com</v>
          </cell>
        </row>
        <row r="10">
          <cell r="B10" t="str">
            <v>CBS0008</v>
          </cell>
          <cell r="C10" t="str">
            <v>Nguyễn Thị An</v>
          </cell>
          <cell r="D10" t="str">
            <v>阮氏安</v>
          </cell>
          <cell r="E10" t="str">
            <v>Anna</v>
          </cell>
          <cell r="F10">
            <v>45931</v>
          </cell>
          <cell r="G10" t="str">
            <v>IDL</v>
          </cell>
          <cell r="H10" t="str">
            <v>Chuyên viên Logistic/ Logistic Specialist</v>
          </cell>
          <cell r="I10" t="str">
            <v>Quản lý chuỗi cung ứng/ SCM</v>
          </cell>
          <cell r="L10" t="str">
            <v>x</v>
          </cell>
          <cell r="M10" t="str">
            <v>x</v>
          </cell>
          <cell r="O10" t="str">
            <v>Anna.an@amphenol-cbs.com</v>
          </cell>
        </row>
        <row r="11">
          <cell r="B11" t="str">
            <v>CBS0009</v>
          </cell>
          <cell r="C11" t="str">
            <v>Nguyễn Thị Hiền</v>
          </cell>
          <cell r="D11" t="str">
            <v>阮氏贤</v>
          </cell>
          <cell r="E11" t="str">
            <v>Helen</v>
          </cell>
          <cell r="F11">
            <v>45937</v>
          </cell>
          <cell r="G11" t="str">
            <v>IDL</v>
          </cell>
          <cell r="H11" t="str">
            <v>Trưởng phòng tài chính/ FIN Manager</v>
          </cell>
          <cell r="I11" t="str">
            <v>Tài chính/
Finance</v>
          </cell>
          <cell r="L11" t="str">
            <v>x</v>
          </cell>
          <cell r="M11" t="str">
            <v>x</v>
          </cell>
          <cell r="O11" t="str">
            <v>Helen.hien@amphenol-cbs.com</v>
          </cell>
        </row>
        <row r="12">
          <cell r="B12" t="str">
            <v>CBS0010</v>
          </cell>
          <cell r="C12" t="str">
            <v>Vũ Xuân Nam</v>
          </cell>
          <cell r="D12" t="str">
            <v>武春南</v>
          </cell>
          <cell r="E12" t="str">
            <v>Max</v>
          </cell>
          <cell r="F12">
            <v>45944</v>
          </cell>
          <cell r="G12" t="str">
            <v>IDL</v>
          </cell>
          <cell r="H12" t="str">
            <v>Trưởng phòng quản lý chuỗi cungh ứng/ SCM Manager</v>
          </cell>
          <cell r="I12" t="str">
            <v>Quản lý chuỗi cung ứng/ SCM</v>
          </cell>
          <cell r="L12" t="str">
            <v>x</v>
          </cell>
          <cell r="M12" t="str">
            <v>x</v>
          </cell>
          <cell r="O12" t="str">
            <v>Max.nam@amphenol-cbs.com</v>
          </cell>
        </row>
        <row r="13">
          <cell r="B13" t="str">
            <v>CBS0012</v>
          </cell>
          <cell r="C13" t="str">
            <v>Lê Thị Trang Nhung</v>
          </cell>
          <cell r="D13" t="str">
            <v>李氏庄绒</v>
          </cell>
          <cell r="E13" t="str">
            <v>Amy</v>
          </cell>
          <cell r="F13">
            <v>45950</v>
          </cell>
          <cell r="G13" t="str">
            <v>IDL</v>
          </cell>
          <cell r="H13" t="str">
            <v>Chuyên viên tuyển dụng/ Recruiter Specialist</v>
          </cell>
          <cell r="I13" t="str">
            <v>Hành chính nhân sự/ HR&amp;Admin</v>
          </cell>
          <cell r="L13" t="str">
            <v>x</v>
          </cell>
          <cell r="M13" t="str">
            <v>x</v>
          </cell>
          <cell r="O13" t="str">
            <v>Amy.nhung@amphenol-cbs.com</v>
          </cell>
        </row>
        <row r="14">
          <cell r="B14" t="str">
            <v>CBS0014</v>
          </cell>
          <cell r="C14" t="str">
            <v>Nguyễn Xuân Dương</v>
          </cell>
          <cell r="D14" t="str">
            <v>阮春杨</v>
          </cell>
          <cell r="E14" t="str">
            <v>David</v>
          </cell>
          <cell r="F14">
            <v>45952</v>
          </cell>
          <cell r="G14" t="str">
            <v>IDL</v>
          </cell>
          <cell r="H14" t="str">
            <v>Phó phòng sản xuất/ Production Assistant Manager</v>
          </cell>
          <cell r="I14" t="str">
            <v>Production</v>
          </cell>
          <cell r="L14" t="str">
            <v>x</v>
          </cell>
          <cell r="M14" t="str">
            <v>x</v>
          </cell>
          <cell r="O14" t="str">
            <v>David.duong@amphenol-cbs.com</v>
          </cell>
        </row>
        <row r="15">
          <cell r="B15" t="str">
            <v>CBS0015</v>
          </cell>
          <cell r="C15" t="str">
            <v>Nguyễn Công Sỏi</v>
          </cell>
          <cell r="D15" t="str">
            <v>阮功石</v>
          </cell>
          <cell r="E15" t="str">
            <v>Jack</v>
          </cell>
          <cell r="F15" t="str">
            <v>27/10/2025</v>
          </cell>
          <cell r="G15" t="str">
            <v>IDL</v>
          </cell>
          <cell r="H15" t="str">
            <v>Nhân viên IT/ IT Staff</v>
          </cell>
          <cell r="I15" t="str">
            <v>Cơ sở hạ tầng
Facility</v>
          </cell>
          <cell r="L15" t="str">
            <v>x</v>
          </cell>
          <cell r="M15" t="str">
            <v>x</v>
          </cell>
          <cell r="O15" t="str">
            <v>Jack.soi@amphenol-cbs.com</v>
          </cell>
        </row>
        <row r="16">
          <cell r="B16" t="str">
            <v>CBS0016</v>
          </cell>
          <cell r="C16" t="str">
            <v>Đặng Nhật Minh</v>
          </cell>
          <cell r="D16" t="str">
            <v>邓日明</v>
          </cell>
          <cell r="E16" t="str">
            <v>Lucas</v>
          </cell>
          <cell r="F16">
            <v>45957</v>
          </cell>
          <cell r="G16" t="str">
            <v>IDL</v>
          </cell>
          <cell r="H16" t="str">
            <v>Kỹ sư ME/ ME Engineer</v>
          </cell>
          <cell r="I16" t="str">
            <v>Bộ phận ME/ ME</v>
          </cell>
          <cell r="L16" t="str">
            <v>x</v>
          </cell>
          <cell r="M16" t="str">
            <v>x</v>
          </cell>
          <cell r="O16" t="str">
            <v>Lucas.minh@amphenol-cbs.com</v>
          </cell>
        </row>
        <row r="17">
          <cell r="B17" t="str">
            <v>CBS0017</v>
          </cell>
          <cell r="C17" t="str">
            <v>Trần Văn Hưng</v>
          </cell>
          <cell r="D17" t="str">
            <v>陈文兴</v>
          </cell>
          <cell r="E17" t="str">
            <v>Robert</v>
          </cell>
          <cell r="F17">
            <v>45966</v>
          </cell>
          <cell r="G17" t="str">
            <v>IDL</v>
          </cell>
          <cell r="H17" t="str">
            <v>Trưởng phòng chất lượng/ QA Manager</v>
          </cell>
          <cell r="I17" t="str">
            <v>Chất lượng/ Quality</v>
          </cell>
          <cell r="J17">
            <v>978994515</v>
          </cell>
          <cell r="L17" t="str">
            <v>x</v>
          </cell>
          <cell r="M17" t="str">
            <v>x</v>
          </cell>
          <cell r="O17" t="str">
            <v>Robert.hung@amphenol-cbs.com</v>
          </cell>
        </row>
        <row r="18">
          <cell r="B18" t="str">
            <v>CBS0018</v>
          </cell>
          <cell r="C18" t="str">
            <v>Nguyễn Thị Thắm</v>
          </cell>
          <cell r="D18" t="str">
            <v>阮氏深</v>
          </cell>
          <cell r="E18" t="str">
            <v>Mina</v>
          </cell>
          <cell r="F18">
            <v>45966</v>
          </cell>
          <cell r="G18" t="str">
            <v>IDL</v>
          </cell>
          <cell r="H18" t="str">
            <v>Chuyên viên thu mua/ Buyer Staff</v>
          </cell>
          <cell r="I18" t="str">
            <v>Quản lý chuỗi cung ứng/ SCM</v>
          </cell>
          <cell r="J18">
            <v>984301167</v>
          </cell>
          <cell r="L18" t="str">
            <v>x</v>
          </cell>
          <cell r="M18" t="str">
            <v>x</v>
          </cell>
          <cell r="O18" t="str">
            <v>Mina.tham@amphenol-cbs.com</v>
          </cell>
        </row>
        <row r="19">
          <cell r="B19" t="str">
            <v>CBS0020</v>
          </cell>
          <cell r="C19" t="str">
            <v>Đỗ Thu Hải</v>
          </cell>
          <cell r="D19" t="str">
            <v>杜秋海</v>
          </cell>
          <cell r="E19" t="str">
            <v>Susan</v>
          </cell>
          <cell r="F19">
            <v>45971</v>
          </cell>
          <cell r="G19" t="str">
            <v>IDL</v>
          </cell>
          <cell r="H19" t="str">
            <v>Giám sát tuyển dụng/ Recruiter Supervisor</v>
          </cell>
          <cell r="I19" t="str">
            <v>Hành chính nhân sự/ HR&amp;Admin</v>
          </cell>
          <cell r="J19">
            <v>912197838</v>
          </cell>
          <cell r="L19" t="str">
            <v>x</v>
          </cell>
          <cell r="M19" t="str">
            <v>x</v>
          </cell>
          <cell r="O19" t="str">
            <v>Susan.hai@amphenol-cbs.com</v>
          </cell>
        </row>
        <row r="20">
          <cell r="B20" t="str">
            <v>CBS0021</v>
          </cell>
          <cell r="C20" t="str">
            <v>Nguyễn Nam Khánh</v>
          </cell>
          <cell r="E20" t="str">
            <v>Mayan</v>
          </cell>
          <cell r="F20">
            <v>45978</v>
          </cell>
          <cell r="G20" t="str">
            <v>IDL</v>
          </cell>
          <cell r="H20" t="str">
            <v>Nhân viên kho/ Warehouse Staff</v>
          </cell>
          <cell r="I20" t="str">
            <v>Quản lý chuỗi cung ứng/ SCM</v>
          </cell>
          <cell r="J20">
            <v>386260203</v>
          </cell>
          <cell r="L20" t="str">
            <v>x</v>
          </cell>
          <cell r="M20" t="str">
            <v>x</v>
          </cell>
          <cell r="O20" t="str">
            <v>Mayan.khanh@amphenol-cbs.com</v>
          </cell>
        </row>
        <row r="21">
          <cell r="B21" t="str">
            <v>CBS0022</v>
          </cell>
          <cell r="C21" t="str">
            <v>Nguyễn Thanh Chiến</v>
          </cell>
          <cell r="E21" t="str">
            <v>Victor</v>
          </cell>
          <cell r="F21">
            <v>45981</v>
          </cell>
          <cell r="G21" t="str">
            <v>IDL</v>
          </cell>
          <cell r="H21" t="str">
            <v>Giám sát sản xuất/ Production Supervisor</v>
          </cell>
          <cell r="I21" t="str">
            <v>Production</v>
          </cell>
          <cell r="J21">
            <v>949171580</v>
          </cell>
          <cell r="L21" t="str">
            <v>x</v>
          </cell>
          <cell r="M21" t="str">
            <v>x</v>
          </cell>
          <cell r="O21" t="str">
            <v>Victor.chien@amphenol-cbs.com</v>
          </cell>
        </row>
        <row r="22">
          <cell r="B22" t="str">
            <v>CBS0026</v>
          </cell>
          <cell r="C22" t="str">
            <v>Nguyễn Anh Tuấn</v>
          </cell>
          <cell r="E22" t="str">
            <v>Atus</v>
          </cell>
          <cell r="F22">
            <v>45985</v>
          </cell>
          <cell r="G22" t="str">
            <v>IDL</v>
          </cell>
          <cell r="H22" t="str">
            <v>Kỹ sư ME/ ME Engineer</v>
          </cell>
          <cell r="I22" t="str">
            <v>Bộ phận ME/ ME</v>
          </cell>
          <cell r="J22">
            <v>969356231</v>
          </cell>
          <cell r="L22" t="str">
            <v>x</v>
          </cell>
          <cell r="M22" t="str">
            <v>x</v>
          </cell>
          <cell r="O22" t="str">
            <v>atus.tuan@amphenol-cbs.com</v>
          </cell>
        </row>
        <row r="23">
          <cell r="B23" t="str">
            <v>CBS0027</v>
          </cell>
          <cell r="C23" t="str">
            <v>Nguyễn Ngọc Loan</v>
          </cell>
          <cell r="E23" t="str">
            <v>Jane</v>
          </cell>
          <cell r="F23">
            <v>45992</v>
          </cell>
          <cell r="G23" t="str">
            <v>IDL</v>
          </cell>
          <cell r="H23" t="str">
            <v>Trưởng phòng An toàn, Sức khỏe, Môi trường/ EHS Manager</v>
          </cell>
          <cell r="I23" t="str">
            <v>EHS</v>
          </cell>
          <cell r="J23">
            <v>988457556</v>
          </cell>
          <cell r="L23" t="str">
            <v>x</v>
          </cell>
          <cell r="M23" t="str">
            <v>x</v>
          </cell>
          <cell r="O23" t="str">
            <v>jane.loan@amphenol-cbs.com</v>
          </cell>
        </row>
        <row r="24">
          <cell r="B24" t="str">
            <v>CBS0028</v>
          </cell>
          <cell r="C24" t="str">
            <v>Hà Thị Hằng</v>
          </cell>
          <cell r="E24" t="str">
            <v>Hana</v>
          </cell>
          <cell r="F24">
            <v>45992</v>
          </cell>
          <cell r="G24" t="str">
            <v>IDL</v>
          </cell>
          <cell r="H24" t="str">
            <v>Phiên dịch viên ME/ ME Translator</v>
          </cell>
          <cell r="I24" t="str">
            <v>Bộ phận ME/ ME</v>
          </cell>
          <cell r="J24">
            <v>364162213</v>
          </cell>
          <cell r="L24" t="str">
            <v>x</v>
          </cell>
          <cell r="M24" t="str">
            <v>x</v>
          </cell>
          <cell r="O24" t="str">
            <v>hana.hang@amphenol-cbs.com</v>
          </cell>
        </row>
        <row r="25">
          <cell r="B25" t="str">
            <v>CBS0029</v>
          </cell>
          <cell r="C25" t="str">
            <v>Tống Thị Hoan</v>
          </cell>
          <cell r="E25" t="str">
            <v>Judy</v>
          </cell>
          <cell r="F25">
            <v>45992</v>
          </cell>
          <cell r="G25" t="str">
            <v>IDL</v>
          </cell>
          <cell r="H25" t="str">
            <v>Phiên dịch viên ME/ ME Translator</v>
          </cell>
          <cell r="I25" t="str">
            <v>Bộ phận ME/ ME</v>
          </cell>
          <cell r="J25">
            <v>857619542</v>
          </cell>
          <cell r="L25" t="str">
            <v>x</v>
          </cell>
          <cell r="M25" t="str">
            <v>x</v>
          </cell>
          <cell r="O25" t="str">
            <v>judy.hoan@amphenol-cbs.com</v>
          </cell>
        </row>
        <row r="26">
          <cell r="B26" t="str">
            <v>CNT0009</v>
          </cell>
          <cell r="C26" t="str">
            <v>XU HUI JIE</v>
          </cell>
          <cell r="D26" t="str">
            <v>徐慧杰</v>
          </cell>
          <cell r="E26" t="str">
            <v>Jack</v>
          </cell>
          <cell r="F26">
            <v>45992</v>
          </cell>
          <cell r="G26" t="str">
            <v>IDL</v>
          </cell>
          <cell r="H26" t="str">
            <v>Kỹ sư chất lượng/ QA Engineer</v>
          </cell>
          <cell r="I26" t="str">
            <v>Chất lượng/ Quality</v>
          </cell>
          <cell r="L26" t="str">
            <v>x</v>
          </cell>
          <cell r="M26" t="str">
            <v>x</v>
          </cell>
          <cell r="O26" t="str">
            <v>jack.xu@amphenol-cbs.com</v>
          </cell>
        </row>
        <row r="27">
          <cell r="B27" t="str">
            <v>CBS0032</v>
          </cell>
          <cell r="C27" t="str">
            <v>Lý Thị Thúy Ngân</v>
          </cell>
          <cell r="E27" t="str">
            <v>Jennifer</v>
          </cell>
          <cell r="F27">
            <v>46006</v>
          </cell>
          <cell r="G27" t="str">
            <v>IDL</v>
          </cell>
          <cell r="H27" t="str">
            <v>Chuyên viên giá thành/ Costing Specialist</v>
          </cell>
          <cell r="I27" t="str">
            <v>Tài chính/
Finance</v>
          </cell>
          <cell r="J27">
            <v>796342118</v>
          </cell>
          <cell r="L27" t="str">
            <v>x</v>
          </cell>
          <cell r="M27" t="str">
            <v>x</v>
          </cell>
          <cell r="O27" t="str">
            <v>Jennifer.ngan@amphenol-cbs.com</v>
          </cell>
        </row>
        <row r="28">
          <cell r="B28" t="str">
            <v>CBS0034</v>
          </cell>
          <cell r="C28" t="str">
            <v>Phạm Viết Cương</v>
          </cell>
          <cell r="E28" t="str">
            <v>Henry</v>
          </cell>
          <cell r="F28">
            <v>46008</v>
          </cell>
          <cell r="G28" t="str">
            <v>IDL</v>
          </cell>
          <cell r="H28" t="str">
            <v>NPI Project Manager</v>
          </cell>
          <cell r="I28" t="str">
            <v>NPI</v>
          </cell>
          <cell r="J28">
            <v>348241195</v>
          </cell>
          <cell r="L28" t="str">
            <v>x</v>
          </cell>
          <cell r="M28" t="str">
            <v>x</v>
          </cell>
          <cell r="O28" t="str">
            <v>henry.cuong@amphenol-cbs.com</v>
          </cell>
        </row>
        <row r="29">
          <cell r="B29" t="str">
            <v>CBS0037</v>
          </cell>
          <cell r="C29" t="str">
            <v>Nguyễn Như Phong</v>
          </cell>
          <cell r="E29" t="str">
            <v>Levi</v>
          </cell>
          <cell r="F29">
            <v>46020</v>
          </cell>
          <cell r="G29" t="str">
            <v>IDL</v>
          </cell>
          <cell r="H29" t="str">
            <v>Kỹ sư Công nghệ thông tin/ IT Engineer</v>
          </cell>
          <cell r="I29" t="str">
            <v>Cơ sở hạ tầng/ Facility</v>
          </cell>
          <cell r="J29">
            <v>984033515</v>
          </cell>
          <cell r="L29" t="str">
            <v>x</v>
          </cell>
          <cell r="M29" t="str">
            <v>x</v>
          </cell>
          <cell r="O29" t="str">
            <v>levi.phong@amphenol-cbs.com</v>
          </cell>
        </row>
        <row r="30">
          <cell r="B30" t="str">
            <v>CBS0038</v>
          </cell>
          <cell r="C30" t="str">
            <v>Trần Thị Minh Anh</v>
          </cell>
          <cell r="E30" t="str">
            <v>Charlotte</v>
          </cell>
          <cell r="F30">
            <v>46027</v>
          </cell>
          <cell r="G30" t="str">
            <v>IDL</v>
          </cell>
          <cell r="H30" t="str">
            <v>FP&amp;A Specialist</v>
          </cell>
          <cell r="I30" t="str">
            <v>Tài chính/
Finance</v>
          </cell>
          <cell r="J30">
            <v>966890394</v>
          </cell>
          <cell r="L30" t="str">
            <v>x</v>
          </cell>
          <cell r="M30" t="str">
            <v>x</v>
          </cell>
          <cell r="O30" t="str">
            <v>charlotte.anh@amphenol-cbs.com</v>
          </cell>
        </row>
        <row r="31">
          <cell r="B31" t="str">
            <v>CBS0039</v>
          </cell>
          <cell r="C31" t="str">
            <v>Vũ Đức Bắc</v>
          </cell>
          <cell r="E31" t="str">
            <v>Bryan</v>
          </cell>
          <cell r="F31">
            <v>46027</v>
          </cell>
          <cell r="G31" t="str">
            <v>IDL</v>
          </cell>
          <cell r="H31" t="str">
            <v>Kỹ sư cơ khí/ Mechanical Engineer</v>
          </cell>
          <cell r="I31" t="str">
            <v>Bộ phận ME/ ME</v>
          </cell>
          <cell r="J31">
            <v>977419416</v>
          </cell>
          <cell r="L31" t="str">
            <v>x</v>
          </cell>
          <cell r="M31" t="str">
            <v>x</v>
          </cell>
          <cell r="O31" t="str">
            <v>bac.vu@amphenol-cbs.com</v>
          </cell>
        </row>
        <row r="32">
          <cell r="B32" t="str">
            <v>CBS0044</v>
          </cell>
          <cell r="C32" t="str">
            <v>Nguyễn Thị Phượng</v>
          </cell>
          <cell r="E32" t="str">
            <v>Phoenix</v>
          </cell>
          <cell r="F32">
            <v>46030</v>
          </cell>
          <cell r="G32" t="str">
            <v>IDL</v>
          </cell>
          <cell r="H32" t="str">
            <v>NPI Project Manager</v>
          </cell>
          <cell r="I32" t="str">
            <v>NPI</v>
          </cell>
          <cell r="J32">
            <v>376243408</v>
          </cell>
          <cell r="L32" t="str">
            <v>x</v>
          </cell>
          <cell r="M32" t="str">
            <v>x</v>
          </cell>
          <cell r="O32" t="str">
            <v>phoenix.phuong@amphenol-cbs.com</v>
          </cell>
        </row>
        <row r="33">
          <cell r="B33" t="str">
            <v>CBS0031</v>
          </cell>
          <cell r="C33" t="str">
            <v>Nguyễn Thị Vân Loan</v>
          </cell>
          <cell r="E33" t="str">
            <v>Bella</v>
          </cell>
          <cell r="F33">
            <v>46006</v>
          </cell>
          <cell r="G33" t="str">
            <v>IDL</v>
          </cell>
          <cell r="H33" t="str">
            <v>Chuyên viên tìm kiếm nguồn hàng/ Sourcing Specialist</v>
          </cell>
          <cell r="I33" t="str">
            <v>Purchasing</v>
          </cell>
          <cell r="J33">
            <v>384430377</v>
          </cell>
          <cell r="L33" t="str">
            <v>x</v>
          </cell>
          <cell r="M33" t="str">
            <v>x</v>
          </cell>
          <cell r="O33" t="str">
            <v>bella.loan@amphenol-cbs.com</v>
          </cell>
        </row>
        <row r="34">
          <cell r="B34" t="str">
            <v>CBS0045</v>
          </cell>
          <cell r="C34" t="str">
            <v>Trần Thị Việt</v>
          </cell>
          <cell r="E34" t="str">
            <v>Cathy</v>
          </cell>
          <cell r="F34">
            <v>46034</v>
          </cell>
          <cell r="G34" t="str">
            <v>IDL</v>
          </cell>
          <cell r="H34" t="str">
            <v>Purchasing Specialist/ Chuyên viên mua hàng</v>
          </cell>
          <cell r="I34" t="str">
            <v>Purchasing</v>
          </cell>
          <cell r="J34">
            <v>364965572</v>
          </cell>
          <cell r="L34" t="str">
            <v>x</v>
          </cell>
          <cell r="M34" t="str">
            <v>x</v>
          </cell>
          <cell r="O34" t="str">
            <v>cathy.viet@amphenol-cbs.com</v>
          </cell>
        </row>
        <row r="35">
          <cell r="B35" t="str">
            <v>CBS0036</v>
          </cell>
          <cell r="C35" t="str">
            <v xml:space="preserve">Nguyễn Văn Quân
</v>
          </cell>
          <cell r="E35" t="str">
            <v>John</v>
          </cell>
          <cell r="F35" t="str">
            <v>29/12/2025</v>
          </cell>
          <cell r="G35" t="str">
            <v>IDL</v>
          </cell>
          <cell r="H35" t="str">
            <v>Kỹ sư lắp ráp/ Assembling Engineer</v>
          </cell>
          <cell r="I35" t="str">
            <v>PE</v>
          </cell>
          <cell r="J35">
            <v>362533633</v>
          </cell>
          <cell r="L35" t="str">
            <v>x</v>
          </cell>
          <cell r="M35" t="str">
            <v>x</v>
          </cell>
          <cell r="O35" t="str">
            <v>john.quan@amphenol-cbs.com</v>
          </cell>
        </row>
        <row r="36">
          <cell r="B36" t="str">
            <v>CBS0041</v>
          </cell>
          <cell r="C36" t="str">
            <v>Đỗ Thị Thanh Tuấn</v>
          </cell>
          <cell r="E36" t="str">
            <v>Lucy</v>
          </cell>
          <cell r="F36">
            <v>46027</v>
          </cell>
          <cell r="G36" t="str">
            <v>IDL</v>
          </cell>
          <cell r="H36" t="str">
            <v>Giám sát kho/ Warehouse Supervisor</v>
          </cell>
          <cell r="I36" t="str">
            <v>SCM</v>
          </cell>
          <cell r="J36" t="str">
            <v>0979 377 446</v>
          </cell>
          <cell r="L36" t="str">
            <v>x</v>
          </cell>
          <cell r="M36" t="str">
            <v>x</v>
          </cell>
          <cell r="O36" t="str">
            <v>lucy.tuan@amphenol-cbs.com</v>
          </cell>
        </row>
        <row r="37">
          <cell r="B37" t="str">
            <v>CBS0042</v>
          </cell>
          <cell r="C37" t="str">
            <v>Dương Quốc Tân</v>
          </cell>
          <cell r="E37" t="str">
            <v>Neo</v>
          </cell>
          <cell r="F37">
            <v>46027</v>
          </cell>
          <cell r="G37" t="str">
            <v>IDL</v>
          </cell>
          <cell r="H37" t="str">
            <v>Nhân viên EHS/ EHS Staff</v>
          </cell>
          <cell r="I37" t="str">
            <v>EHS</v>
          </cell>
          <cell r="J37">
            <v>979852693</v>
          </cell>
          <cell r="L37" t="str">
            <v>x</v>
          </cell>
          <cell r="M37" t="str">
            <v>x</v>
          </cell>
          <cell r="O37" t="str">
            <v>neo.tan@amphenol-cbs.com</v>
          </cell>
        </row>
        <row r="38">
          <cell r="B38" t="str">
            <v>CBS0043</v>
          </cell>
          <cell r="C38" t="str">
            <v>Dương Tuấn Hải</v>
          </cell>
          <cell r="E38" t="str">
            <v>Sea</v>
          </cell>
          <cell r="F38">
            <v>46028</v>
          </cell>
          <cell r="G38" t="str">
            <v>IDL</v>
          </cell>
          <cell r="H38" t="str">
            <v>Quality Trainer</v>
          </cell>
          <cell r="I38" t="str">
            <v>Chất lượng/ Quality</v>
          </cell>
          <cell r="J38">
            <v>869893831</v>
          </cell>
          <cell r="L38" t="str">
            <v>x</v>
          </cell>
          <cell r="M38" t="str">
            <v>x</v>
          </cell>
          <cell r="O38" t="str">
            <v>Sea.Hai@amphenol-cbs.com</v>
          </cell>
        </row>
        <row r="39">
          <cell r="B39" t="str">
            <v>CBS0048</v>
          </cell>
          <cell r="C39" t="str">
            <v>Nguyễn Văn Diên</v>
          </cell>
          <cell r="E39" t="str">
            <v>Danny</v>
          </cell>
          <cell r="F39">
            <v>46048</v>
          </cell>
          <cell r="G39" t="str">
            <v>IDL</v>
          </cell>
          <cell r="H39" t="str">
            <v>Nhân viên kho/ Warehouse Staff</v>
          </cell>
          <cell r="I39" t="str">
            <v>SCM</v>
          </cell>
          <cell r="J39">
            <v>373910489</v>
          </cell>
          <cell r="L39" t="str">
            <v>x</v>
          </cell>
          <cell r="M39" t="str">
            <v>x</v>
          </cell>
          <cell r="O39" t="str">
            <v>Danny.dien@amphenol-cbs.com</v>
          </cell>
        </row>
        <row r="40">
          <cell r="B40" t="str">
            <v>CBS0047</v>
          </cell>
          <cell r="C40" t="str">
            <v>Nguyễn Thị Quyên</v>
          </cell>
          <cell r="E40" t="str">
            <v xml:space="preserve">Cara </v>
          </cell>
          <cell r="F40">
            <v>46048</v>
          </cell>
          <cell r="G40" t="str">
            <v>IDL</v>
          </cell>
          <cell r="H40" t="str">
            <v>Kỹ sư hệ thống/ MES Engineer</v>
          </cell>
          <cell r="I40" t="str">
            <v>IT</v>
          </cell>
          <cell r="J40">
            <v>344486894</v>
          </cell>
          <cell r="L40" t="str">
            <v>x</v>
          </cell>
          <cell r="M40" t="str">
            <v>x</v>
          </cell>
          <cell r="O40" t="str">
            <v>cara.quyen@amphenol-cbs.com</v>
          </cell>
        </row>
        <row r="41">
          <cell r="B41" t="str">
            <v>CBS0040</v>
          </cell>
          <cell r="C41" t="str">
            <v>Hà Duy Hưng</v>
          </cell>
          <cell r="E41" t="str">
            <v>Harry</v>
          </cell>
          <cell r="F41">
            <v>46027</v>
          </cell>
          <cell r="G41" t="str">
            <v>IDL</v>
          </cell>
          <cell r="H41" t="str">
            <v xml:space="preserve">Supplier Quality Engineer </v>
          </cell>
          <cell r="I41" t="str">
            <v>Quality</v>
          </cell>
          <cell r="J41">
            <v>945804788</v>
          </cell>
          <cell r="L41" t="str">
            <v>x</v>
          </cell>
          <cell r="M41" t="str">
            <v>x</v>
          </cell>
          <cell r="O41" t="str">
            <v>Harry.hung@amphenol-cbs.com</v>
          </cell>
        </row>
        <row r="42">
          <cell r="B42" t="str">
            <v>CBS0050</v>
          </cell>
          <cell r="C42" t="str">
            <v>Đào Xuân Quân</v>
          </cell>
          <cell r="E42" t="str">
            <v>Kevin</v>
          </cell>
          <cell r="F42">
            <v>46058</v>
          </cell>
          <cell r="G42" t="str">
            <v>IDL</v>
          </cell>
          <cell r="H42" t="str">
            <v>Kỹ sư ME/ ME Engineer</v>
          </cell>
          <cell r="I42" t="str">
            <v>ME</v>
          </cell>
          <cell r="J42">
            <v>979852694</v>
          </cell>
          <cell r="L42" t="str">
            <v>x</v>
          </cell>
          <cell r="M42" t="str">
            <v>x</v>
          </cell>
          <cell r="O42" t="str">
            <v>kevin.quan@amphenol-cbs.com</v>
          </cell>
        </row>
        <row r="43">
          <cell r="B43" t="str">
            <v>CBS0052</v>
          </cell>
          <cell r="C43" t="str">
            <v xml:space="preserve">Nguyễn Thị Giang </v>
          </cell>
          <cell r="E43" t="str">
            <v>Grace</v>
          </cell>
          <cell r="F43">
            <v>46076</v>
          </cell>
          <cell r="G43" t="str">
            <v>IDL</v>
          </cell>
          <cell r="H43" t="str">
            <v>Admin Specialist</v>
          </cell>
          <cell r="I43" t="str">
            <v>Hành chính nhân sự/ HR &amp; Admin</v>
          </cell>
          <cell r="J43">
            <v>986919485</v>
          </cell>
          <cell r="L43" t="str">
            <v>x</v>
          </cell>
          <cell r="M43" t="str">
            <v>x</v>
          </cell>
          <cell r="O43" t="str">
            <v>grace.giang@amphennol-cbs.com</v>
          </cell>
        </row>
        <row r="44">
          <cell r="B44" t="str">
            <v>CBS0053</v>
          </cell>
          <cell r="C44" t="str">
            <v>Đặng Văn Luyện</v>
          </cell>
          <cell r="E44" t="str">
            <v>Dieter</v>
          </cell>
          <cell r="F44">
            <v>46076</v>
          </cell>
          <cell r="G44" t="str">
            <v>IDL</v>
          </cell>
          <cell r="H44" t="str">
            <v>Production Supervisor</v>
          </cell>
          <cell r="I44" t="str">
            <v>Sản xuất/Production</v>
          </cell>
          <cell r="J44">
            <v>868921397</v>
          </cell>
          <cell r="L44" t="str">
            <v>x</v>
          </cell>
          <cell r="M44" t="str">
            <v>x</v>
          </cell>
          <cell r="O44" t="str">
            <v>Dieter.Luyen@amphenol-cbs.com</v>
          </cell>
        </row>
        <row r="45">
          <cell r="B45" t="str">
            <v>CBS0055</v>
          </cell>
          <cell r="C45" t="str">
            <v xml:space="preserve">Nguyễn Thị Thu Trang </v>
          </cell>
          <cell r="E45" t="str">
            <v>Kayla</v>
          </cell>
          <cell r="F45">
            <v>46076</v>
          </cell>
          <cell r="G45" t="str">
            <v>IDL</v>
          </cell>
          <cell r="H45" t="str">
            <v>Purchasing Manager</v>
          </cell>
          <cell r="I45" t="str">
            <v>Purchasing</v>
          </cell>
          <cell r="J45">
            <v>975727315</v>
          </cell>
          <cell r="L45" t="str">
            <v>x</v>
          </cell>
          <cell r="M45" t="str">
            <v>x</v>
          </cell>
          <cell r="O45" t="str">
            <v>Kayla.Trang@amphenol-cbs.com</v>
          </cell>
        </row>
        <row r="46">
          <cell r="B46" t="str">
            <v>CBS0057</v>
          </cell>
          <cell r="C46" t="str">
            <v>Nguyễn Thu Quỳnh</v>
          </cell>
          <cell r="E46" t="str">
            <v>Mira</v>
          </cell>
          <cell r="F46">
            <v>46083</v>
          </cell>
          <cell r="G46" t="str">
            <v>IDL</v>
          </cell>
          <cell r="H46" t="str">
            <v>Admin Supervisor</v>
          </cell>
          <cell r="I46" t="str">
            <v>HR Admin</v>
          </cell>
          <cell r="J46">
            <v>984507494</v>
          </cell>
          <cell r="L46" t="str">
            <v>x</v>
          </cell>
          <cell r="M46" t="str">
            <v>x</v>
          </cell>
          <cell r="O46" t="str">
            <v>Mira.Quynh@amphenol-cbs.com</v>
          </cell>
        </row>
        <row r="47">
          <cell r="B47" t="str">
            <v>CBS0058</v>
          </cell>
          <cell r="C47" t="str">
            <v>Lê Văn Thực</v>
          </cell>
          <cell r="E47" t="str">
            <v>Dennis</v>
          </cell>
          <cell r="F47">
            <v>46083</v>
          </cell>
          <cell r="G47" t="str">
            <v>IDL</v>
          </cell>
          <cell r="H47" t="str">
            <v>Facility Engineer</v>
          </cell>
          <cell r="I47" t="str">
            <v>Facility</v>
          </cell>
          <cell r="J47">
            <v>982705483</v>
          </cell>
          <cell r="L47" t="str">
            <v>x</v>
          </cell>
          <cell r="M47" t="str">
            <v>x</v>
          </cell>
          <cell r="O47" t="str">
            <v>Dennis.Thuc@amphenol-cbs.com</v>
          </cell>
        </row>
        <row r="48">
          <cell r="B48" t="str">
            <v>CBS0054</v>
          </cell>
          <cell r="C48" t="str">
            <v>Trịnh Thị Mai</v>
          </cell>
          <cell r="E48" t="str">
            <v>Mia</v>
          </cell>
          <cell r="F48">
            <v>46076</v>
          </cell>
          <cell r="G48" t="str">
            <v>IDL</v>
          </cell>
          <cell r="H48" t="str">
            <v>Warehouse Staff</v>
          </cell>
          <cell r="I48" t="str">
            <v>SCM</v>
          </cell>
          <cell r="J48">
            <v>817050925</v>
          </cell>
          <cell r="L48" t="str">
            <v>x</v>
          </cell>
          <cell r="M48" t="str">
            <v>x</v>
          </cell>
          <cell r="O48" t="str">
            <v xml:space="preserve"> Mia.Mai@amphenol-cbs.com</v>
          </cell>
        </row>
        <row r="49">
          <cell r="B49" t="str">
            <v>CBS0059</v>
          </cell>
          <cell r="C49" t="str">
            <v>Nguyễn Thị Luyên</v>
          </cell>
          <cell r="E49" t="str">
            <v>Lynn</v>
          </cell>
          <cell r="F49">
            <v>46083</v>
          </cell>
          <cell r="G49" t="str">
            <v>IDL</v>
          </cell>
          <cell r="H49" t="str">
            <v>Logistics Staff</v>
          </cell>
          <cell r="I49" t="str">
            <v>SCM</v>
          </cell>
          <cell r="J49">
            <v>842822282</v>
          </cell>
          <cell r="L49" t="str">
            <v>x</v>
          </cell>
          <cell r="M49" t="str">
            <v>x</v>
          </cell>
          <cell r="O49" t="str">
            <v>Lynn.Luyen@amphenol-cbs.com</v>
          </cell>
        </row>
        <row r="50">
          <cell r="B50" t="str">
            <v>CBS0051</v>
          </cell>
          <cell r="C50" t="str">
            <v>Nguyễn Chí Nguyện</v>
          </cell>
          <cell r="E50" t="str">
            <v>Zaki</v>
          </cell>
          <cell r="F50">
            <v>46062</v>
          </cell>
          <cell r="G50" t="str">
            <v>IDL</v>
          </cell>
          <cell r="H50" t="str">
            <v>Production Shift Leader</v>
          </cell>
          <cell r="I50" t="str">
            <v>Production</v>
          </cell>
          <cell r="J50">
            <v>971410628</v>
          </cell>
          <cell r="L50" t="str">
            <v>x</v>
          </cell>
          <cell r="M50" t="str">
            <v>x</v>
          </cell>
          <cell r="O50" t="str">
            <v>Zaki.Nguyen@amphenol-cbs.com</v>
          </cell>
        </row>
        <row r="51">
          <cell r="B51" t="str">
            <v>CBS0056</v>
          </cell>
          <cell r="C51" t="str">
            <v>Trần Thị Hà</v>
          </cell>
          <cell r="E51" t="str">
            <v>Lily</v>
          </cell>
          <cell r="F51">
            <v>46078</v>
          </cell>
          <cell r="G51" t="str">
            <v>IDL</v>
          </cell>
          <cell r="H51" t="str">
            <v>Admin Staff</v>
          </cell>
          <cell r="I51" t="str">
            <v>HR Admin</v>
          </cell>
          <cell r="J51" t="str">
            <v xml:space="preserve">0366.520.498 </v>
          </cell>
          <cell r="L51" t="str">
            <v>x</v>
          </cell>
          <cell r="M51" t="str">
            <v>x</v>
          </cell>
          <cell r="O51" t="str">
            <v>Lily.Ha@amphenol-cbs.com</v>
          </cell>
        </row>
        <row r="52">
          <cell r="B52" t="str">
            <v>P0165</v>
          </cell>
          <cell r="C52" t="str">
            <v>Đinh Tuấn Dũng</v>
          </cell>
          <cell r="E52" t="str">
            <v>Vincent</v>
          </cell>
          <cell r="F52">
            <v>46090</v>
          </cell>
          <cell r="G52" t="str">
            <v>IDL</v>
          </cell>
          <cell r="H52" t="str">
            <v>ME Associate Engineer</v>
          </cell>
          <cell r="I52" t="str">
            <v>ME</v>
          </cell>
          <cell r="J52">
            <v>869961530</v>
          </cell>
          <cell r="L52" t="str">
            <v>x</v>
          </cell>
          <cell r="M52" t="str">
            <v>x</v>
          </cell>
          <cell r="O52" t="str">
            <v>Vincent.Dung@amphenol-cbs.com</v>
          </cell>
        </row>
        <row r="53">
          <cell r="B53" t="str">
            <v>CBS0063</v>
          </cell>
          <cell r="C53" t="str">
            <v>Hoàng Thị Quỳnh</v>
          </cell>
          <cell r="E53" t="str">
            <v xml:space="preserve">Juni </v>
          </cell>
          <cell r="F53">
            <v>46104</v>
          </cell>
          <cell r="G53" t="str">
            <v>IDL</v>
          </cell>
          <cell r="H53" t="str">
            <v>Recruitment Specialist</v>
          </cell>
          <cell r="I53" t="str">
            <v>HR Admin</v>
          </cell>
          <cell r="J53">
            <v>367899386</v>
          </cell>
          <cell r="L53" t="str">
            <v>x</v>
          </cell>
          <cell r="M53" t="str">
            <v>x</v>
          </cell>
          <cell r="O53" t="str">
            <v>Juni.Quynh@amphenol-cbs.com</v>
          </cell>
        </row>
        <row r="54">
          <cell r="B54" t="str">
            <v>CBS0060</v>
          </cell>
          <cell r="C54" t="str">
            <v>Nguyễn Thị Phương</v>
          </cell>
          <cell r="E54" t="str">
            <v>Ginny</v>
          </cell>
          <cell r="F54">
            <v>46083</v>
          </cell>
          <cell r="G54" t="str">
            <v>IDL</v>
          </cell>
          <cell r="H54" t="str">
            <v>Recruitment Staff</v>
          </cell>
          <cell r="I54" t="str">
            <v>HR Admin</v>
          </cell>
          <cell r="J54">
            <v>968834967</v>
          </cell>
          <cell r="L54" t="str">
            <v>x</v>
          </cell>
          <cell r="M54" t="str">
            <v>x</v>
          </cell>
          <cell r="O54" t="str">
            <v>Ginny.Phuong@amphenol-cbs.com</v>
          </cell>
        </row>
        <row r="55">
          <cell r="B55" t="str">
            <v>CNT0022</v>
          </cell>
          <cell r="C55" t="str">
            <v>Yan, Jing</v>
          </cell>
          <cell r="D55" t="str">
            <v>颜静</v>
          </cell>
          <cell r="E55" t="str">
            <v>Richard</v>
          </cell>
          <cell r="F55">
            <v>46092</v>
          </cell>
          <cell r="G55" t="str">
            <v>IDL</v>
          </cell>
          <cell r="H55" t="str">
            <v>Production Manager</v>
          </cell>
          <cell r="I55" t="str">
            <v>Production</v>
          </cell>
          <cell r="J55" t="str">
            <v>+86 18980127132</v>
          </cell>
          <cell r="L55" t="str">
            <v>x</v>
          </cell>
          <cell r="M55" t="str">
            <v>x</v>
          </cell>
          <cell r="O55" t="str">
            <v>Richard.yan@amphenol-cbs.com</v>
          </cell>
        </row>
        <row r="56">
          <cell r="B56" t="str">
            <v>CBS0066</v>
          </cell>
          <cell r="C56" t="str">
            <v>Nguyễn Thị Trúc Lâm</v>
          </cell>
          <cell r="E56" t="str">
            <v>Sylvia</v>
          </cell>
          <cell r="F56">
            <v>46111</v>
          </cell>
          <cell r="G56" t="str">
            <v>IDL</v>
          </cell>
          <cell r="H56" t="str">
            <v>Recruitment Coordinator</v>
          </cell>
          <cell r="I56" t="str">
            <v>HR Admin</v>
          </cell>
          <cell r="J56">
            <v>368775331</v>
          </cell>
          <cell r="L56" t="str">
            <v>x</v>
          </cell>
          <cell r="M56" t="str">
            <v>x</v>
          </cell>
          <cell r="O56" t="str">
            <v>Sylvia.Lam@amphenol-cbs.com</v>
          </cell>
        </row>
        <row r="57">
          <cell r="B57" t="str">
            <v>CBS0065</v>
          </cell>
          <cell r="C57" t="str">
            <v>Nguyễn Mạnh Cường</v>
          </cell>
          <cell r="E57" t="str">
            <v>Peter</v>
          </cell>
          <cell r="F57">
            <v>46111</v>
          </cell>
          <cell r="G57" t="str">
            <v>IDL</v>
          </cell>
          <cell r="H57" t="str">
            <v>Process Quality Engineer (PQE)</v>
          </cell>
          <cell r="I57" t="str">
            <v>Quality</v>
          </cell>
          <cell r="J57">
            <v>886181358</v>
          </cell>
          <cell r="L57" t="str">
            <v>x</v>
          </cell>
          <cell r="M57" t="str">
            <v>x</v>
          </cell>
          <cell r="O57" t="str">
            <v>Peter.Cuong@amphenol-cbs.com</v>
          </cell>
        </row>
        <row r="58">
          <cell r="B58" t="str">
            <v>CBS0068</v>
          </cell>
          <cell r="C58" t="str">
            <v>Lê Thị Phương Chi</v>
          </cell>
          <cell r="E58" t="str">
            <v>May</v>
          </cell>
          <cell r="F58">
            <v>46113</v>
          </cell>
          <cell r="G58" t="str">
            <v>IDL</v>
          </cell>
          <cell r="H58" t="str">
            <v>Quality System Engineer (QSE)</v>
          </cell>
          <cell r="I58" t="str">
            <v>Quality</v>
          </cell>
          <cell r="J58">
            <v>344217853</v>
          </cell>
          <cell r="L58" t="str">
            <v>x</v>
          </cell>
          <cell r="M58" t="str">
            <v>x</v>
          </cell>
          <cell r="O58" t="str">
            <v>May.Chi@amphenol-cbs.com</v>
          </cell>
        </row>
        <row r="59">
          <cell r="B59" t="str">
            <v>CBS0062</v>
          </cell>
          <cell r="C59" t="str">
            <v>Nguyễn Ngọc Ánh</v>
          </cell>
          <cell r="E59" t="str">
            <v>Rina</v>
          </cell>
          <cell r="F59">
            <v>46098</v>
          </cell>
          <cell r="G59" t="str">
            <v>IDL</v>
          </cell>
          <cell r="H59" t="str">
            <v xml:space="preserve">Purchasing Staff/ Nhân viên mua hàng
</v>
          </cell>
          <cell r="I59" t="str">
            <v>Purchasing</v>
          </cell>
          <cell r="J59">
            <v>383142188</v>
          </cell>
          <cell r="L59" t="str">
            <v>x</v>
          </cell>
          <cell r="M59" t="str">
            <v>x</v>
          </cell>
          <cell r="O59" t="str">
            <v>Rina.Anh@amphenol-cbs.com</v>
          </cell>
        </row>
        <row r="60">
          <cell r="B60" t="str">
            <v>P0209</v>
          </cell>
          <cell r="C60" t="str">
            <v>Vũ Trọng Phú</v>
          </cell>
          <cell r="E60" t="str">
            <v>Jack</v>
          </cell>
          <cell r="F60">
            <v>46097</v>
          </cell>
          <cell r="G60" t="str">
            <v>IDL</v>
          </cell>
          <cell r="H60" t="str">
            <v>Lab Technician/ Kỹ thuật viên phòng lab</v>
          </cell>
          <cell r="I60" t="str">
            <v xml:space="preserve">Quality </v>
          </cell>
          <cell r="J60">
            <v>964801719</v>
          </cell>
          <cell r="L60" t="str">
            <v>x</v>
          </cell>
          <cell r="M60" t="str">
            <v>x</v>
          </cell>
          <cell r="O60" t="str">
            <v>jack.phu@amphenol-cbs.com</v>
          </cell>
        </row>
        <row r="61">
          <cell r="B61" t="str">
            <v>CBS0067</v>
          </cell>
          <cell r="C61" t="str">
            <v>Lưu Thị Hiền</v>
          </cell>
          <cell r="E61" t="str">
            <v>Lina</v>
          </cell>
          <cell r="F61">
            <v>46111</v>
          </cell>
          <cell r="G61" t="str">
            <v>IDL</v>
          </cell>
          <cell r="H61" t="str">
            <v>Translator/ Phiên dịch tiếng trung</v>
          </cell>
          <cell r="I61" t="str">
            <v>ME</v>
          </cell>
          <cell r="J61">
            <v>355496402</v>
          </cell>
          <cell r="L61" t="str">
            <v>x</v>
          </cell>
          <cell r="M61" t="str">
            <v>x</v>
          </cell>
          <cell r="O61" t="str">
            <v>Lina.hien@amphenol-cbs.com</v>
          </cell>
        </row>
        <row r="62">
          <cell r="B62" t="str">
            <v>CBS0075</v>
          </cell>
          <cell r="C62" t="str">
            <v>Đoàn Vĩnh Huy</v>
          </cell>
          <cell r="E62" t="str">
            <v>Michael</v>
          </cell>
          <cell r="F62">
            <v>46146</v>
          </cell>
          <cell r="G62" t="str">
            <v>IDL</v>
          </cell>
          <cell r="H62" t="str">
            <v>Internal Control Specialist/ Chuyên viên kiểm soát nội bộ</v>
          </cell>
          <cell r="I62" t="str">
            <v>Finance</v>
          </cell>
          <cell r="J62">
            <v>987864888</v>
          </cell>
          <cell r="L62" t="str">
            <v>x</v>
          </cell>
          <cell r="M62" t="str">
            <v>x</v>
          </cell>
          <cell r="O62" t="str">
            <v>Michael.huy@amphenol-cbs.com</v>
          </cell>
        </row>
        <row r="63">
          <cell r="B63" t="str">
            <v>CBS0076</v>
          </cell>
          <cell r="C63" t="str">
            <v>Nguyễn Khánh Chi</v>
          </cell>
          <cell r="E63" t="str">
            <v>Celine</v>
          </cell>
          <cell r="F63">
            <v>46146</v>
          </cell>
          <cell r="G63" t="str">
            <v>IDL</v>
          </cell>
          <cell r="H63" t="str">
            <v>Supplier Quality Engineer/ Kỹ sư chất lượng nhà cung cấp</v>
          </cell>
          <cell r="I63" t="str">
            <v xml:space="preserve">Quality </v>
          </cell>
          <cell r="J63">
            <v>969204136</v>
          </cell>
          <cell r="L63" t="str">
            <v>x</v>
          </cell>
          <cell r="M63" t="str">
            <v>x</v>
          </cell>
          <cell r="O63" t="str">
            <v>Celine.chi@amphenol-cbs.com</v>
          </cell>
        </row>
        <row r="64">
          <cell r="B64" t="str">
            <v>CBS0069</v>
          </cell>
          <cell r="C64" t="str">
            <v>Đặng Tùng Dương</v>
          </cell>
          <cell r="E64" t="str">
            <v>Paddy</v>
          </cell>
          <cell r="F64">
            <v>46118</v>
          </cell>
          <cell r="G64" t="str">
            <v>IDL</v>
          </cell>
          <cell r="H64" t="str">
            <v>NPI Junior PM Engineer/ Kỹ sư quản lý dự án NPI</v>
          </cell>
          <cell r="I64" t="str">
            <v>NPI</v>
          </cell>
          <cell r="J64" t="str">
            <v>038-769-9108</v>
          </cell>
          <cell r="L64" t="str">
            <v>x</v>
          </cell>
          <cell r="M64" t="str">
            <v>x</v>
          </cell>
          <cell r="O64" t="str">
            <v>Paddy.Duong@amphenol-cbs.com</v>
          </cell>
        </row>
        <row r="65">
          <cell r="B65" t="str">
            <v>CBS0070</v>
          </cell>
          <cell r="C65" t="str">
            <v>Đỗ Cao Dương</v>
          </cell>
          <cell r="E65" t="str">
            <v>Demi</v>
          </cell>
          <cell r="F65">
            <v>46118</v>
          </cell>
          <cell r="G65" t="str">
            <v>IDL</v>
          </cell>
          <cell r="H65" t="str">
            <v>Production Training Co-ordinator/ Nhân viên điều phối đào tạo sản xuất</v>
          </cell>
          <cell r="I65" t="str">
            <v>Production</v>
          </cell>
          <cell r="J65">
            <v>368603219</v>
          </cell>
          <cell r="L65" t="str">
            <v>x</v>
          </cell>
          <cell r="M65" t="str">
            <v>x</v>
          </cell>
          <cell r="O65" t="str">
            <v>Demi.duong@amphenol-cbs.com</v>
          </cell>
        </row>
        <row r="66">
          <cell r="B66" t="str">
            <v>CBS0072</v>
          </cell>
          <cell r="C66" t="str">
            <v>Vũ Văn Lâm</v>
          </cell>
          <cell r="E66" t="str">
            <v>Lewis</v>
          </cell>
          <cell r="F66">
            <v>46134</v>
          </cell>
          <cell r="G66" t="str">
            <v>IDL</v>
          </cell>
          <cell r="H66" t="str">
            <v>Recruitment Specialist/ Chuyên viên tuyển dụng</v>
          </cell>
          <cell r="I66" t="str">
            <v>HR Admin</v>
          </cell>
          <cell r="J66">
            <v>964362998</v>
          </cell>
          <cell r="L66" t="str">
            <v>x</v>
          </cell>
          <cell r="M66" t="str">
            <v>x</v>
          </cell>
          <cell r="O66" t="str">
            <v>Lewis.Lam@amphenol-cbs.com</v>
          </cell>
        </row>
        <row r="67">
          <cell r="B67" t="str">
            <v>CBS0073</v>
          </cell>
          <cell r="C67" t="str">
            <v>Trịnh Hoài Nam</v>
          </cell>
          <cell r="E67" t="str">
            <v>Nick</v>
          </cell>
          <cell r="F67">
            <v>46134</v>
          </cell>
          <cell r="G67" t="str">
            <v>IDL</v>
          </cell>
          <cell r="H67" t="str">
            <v>Process Quality Engineer (PQE)/ Kỹ sư chất lượng quy trình</v>
          </cell>
          <cell r="I67" t="str">
            <v xml:space="preserve">Quality </v>
          </cell>
          <cell r="J67" t="str">
            <v xml:space="preserve"> 0393-593-598 </v>
          </cell>
          <cell r="L67" t="str">
            <v>x</v>
          </cell>
          <cell r="M67" t="str">
            <v>x</v>
          </cell>
          <cell r="O67" t="str">
            <v>Nick.Nam@amphenol-cbs.com</v>
          </cell>
        </row>
        <row r="68">
          <cell r="B68" t="str">
            <v xml:space="preserve">CNT0031		</v>
          </cell>
          <cell r="C68" t="str">
            <v xml:space="preserve">Huang, Shenglei </v>
          </cell>
          <cell r="D68" t="str">
            <v>黄升磊</v>
          </cell>
          <cell r="E68" t="str">
            <v xml:space="preserve">Shenglei </v>
          </cell>
          <cell r="F68">
            <v>46132</v>
          </cell>
          <cell r="G68" t="str">
            <v>IDL</v>
          </cell>
          <cell r="H68" t="str">
            <v>Facility Supervisor</v>
          </cell>
          <cell r="I68" t="str">
            <v>Facility</v>
          </cell>
          <cell r="J68">
            <v>18880459778</v>
          </cell>
          <cell r="K68" t="str">
            <v>Deputy Plant Manager</v>
          </cell>
          <cell r="L68" t="str">
            <v>x</v>
          </cell>
          <cell r="M68" t="str">
            <v>x</v>
          </cell>
          <cell r="O68" t="str">
            <v>Shenlei.Huang@amphenol-cbs.com</v>
          </cell>
        </row>
        <row r="69">
          <cell r="B69" t="str">
            <v xml:space="preserve">CNT0033		</v>
          </cell>
          <cell r="C69" t="str">
            <v>Qiu, Xianhao</v>
          </cell>
          <cell r="D69" t="str">
            <v>邱贤豪</v>
          </cell>
          <cell r="E69" t="str">
            <v>Qadir</v>
          </cell>
          <cell r="F69">
            <v>46134</v>
          </cell>
          <cell r="G69" t="str">
            <v>IDL</v>
          </cell>
          <cell r="H69" t="str">
            <v>Production Engineer</v>
          </cell>
          <cell r="I69" t="str">
            <v>Production</v>
          </cell>
          <cell r="J69">
            <v>18871207845</v>
          </cell>
          <cell r="K69" t="str">
            <v>Production Manager</v>
          </cell>
          <cell r="L69" t="str">
            <v>x</v>
          </cell>
          <cell r="M69" t="str">
            <v>x</v>
          </cell>
          <cell r="O69" t="str">
            <v>Qadir.Qiu@amphenol-cbs.com</v>
          </cell>
        </row>
        <row r="70">
          <cell r="B70" t="str">
            <v>CNT0032</v>
          </cell>
          <cell r="C70" t="str">
            <v>Wang, Lei</v>
          </cell>
          <cell r="D70" t="str">
            <v>王磊</v>
          </cell>
          <cell r="E70" t="str">
            <v>Alex</v>
          </cell>
          <cell r="F70">
            <v>46134</v>
          </cell>
          <cell r="G70" t="str">
            <v>IDL</v>
          </cell>
          <cell r="H70" t="str">
            <v>IE Engineer</v>
          </cell>
          <cell r="I70" t="str">
            <v>IE</v>
          </cell>
          <cell r="J70">
            <v>19844494873</v>
          </cell>
          <cell r="K70" t="str">
            <v>IE Manager</v>
          </cell>
          <cell r="L70" t="str">
            <v>x</v>
          </cell>
          <cell r="M70" t="str">
            <v>x</v>
          </cell>
          <cell r="O70" t="str">
            <v>Alex.Wang@amphenol-cbs.com</v>
          </cell>
        </row>
        <row r="71">
          <cell r="B71" t="str">
            <v>CNT0038</v>
          </cell>
          <cell r="C71" t="str">
            <v>Peng, Shuai</v>
          </cell>
          <cell r="D71" t="str">
            <v>彭帅</v>
          </cell>
          <cell r="E71" t="str">
            <v>Shawn</v>
          </cell>
          <cell r="F71">
            <v>46148</v>
          </cell>
          <cell r="G71" t="str">
            <v>IDL</v>
          </cell>
          <cell r="H71" t="str">
            <v>Production Supervisor</v>
          </cell>
          <cell r="I71" t="str">
            <v>Production</v>
          </cell>
          <cell r="J71">
            <v>15024015157</v>
          </cell>
          <cell r="K71" t="str">
            <v>Production Manager</v>
          </cell>
          <cell r="L71" t="str">
            <v>x</v>
          </cell>
          <cell r="M71" t="str">
            <v>x</v>
          </cell>
          <cell r="O71" t="str">
            <v>Shawn.Peng@amphenol-cbs.com</v>
          </cell>
        </row>
        <row r="72">
          <cell r="B72" t="str">
            <v>CNT0037</v>
          </cell>
          <cell r="C72" t="str">
            <v>Ye, Yongqing</v>
          </cell>
          <cell r="D72" t="str">
            <v>叶永青</v>
          </cell>
          <cell r="E72" t="str">
            <v>Andy</v>
          </cell>
          <cell r="F72">
            <v>46147</v>
          </cell>
          <cell r="G72" t="str">
            <v>IDL</v>
          </cell>
          <cell r="H72" t="str">
            <v>Quality Manager</v>
          </cell>
          <cell r="I72" t="str">
            <v>Quality</v>
          </cell>
          <cell r="J72">
            <v>18100684360</v>
          </cell>
          <cell r="K72" t="str">
            <v>Deputy Plant Manager</v>
          </cell>
          <cell r="L72" t="str">
            <v>x</v>
          </cell>
          <cell r="M72" t="str">
            <v>x</v>
          </cell>
          <cell r="O72" t="str">
            <v>Andy.Ye@amphenol-cbs.com</v>
          </cell>
        </row>
        <row r="73">
          <cell r="D73" t="str">
            <v>李岗</v>
          </cell>
          <cell r="E73" t="str">
            <v>Jerry</v>
          </cell>
          <cell r="F73">
            <v>46148</v>
          </cell>
          <cell r="G73" t="str">
            <v>IDL</v>
          </cell>
          <cell r="H73" t="str">
            <v>Testing Manager</v>
          </cell>
          <cell r="I73" t="str">
            <v>Test</v>
          </cell>
          <cell r="J73">
            <v>15800540109</v>
          </cell>
          <cell r="K73" t="str">
            <v>NA</v>
          </cell>
          <cell r="L73" t="str">
            <v>x</v>
          </cell>
          <cell r="M73" t="str">
            <v>x</v>
          </cell>
          <cell r="N73" t="str">
            <v>Cancel offer</v>
          </cell>
        </row>
        <row r="74">
          <cell r="C74" t="str">
            <v>Chen, Youhong</v>
          </cell>
          <cell r="D74" t="str">
            <v>陈又红</v>
          </cell>
          <cell r="E74" t="str">
            <v>Youhong</v>
          </cell>
          <cell r="F74">
            <v>46149</v>
          </cell>
          <cell r="G74" t="str">
            <v>IDL</v>
          </cell>
          <cell r="H74" t="str">
            <v>IE Engineer</v>
          </cell>
          <cell r="I74" t="str">
            <v>IE</v>
          </cell>
          <cell r="J74">
            <v>17764062920</v>
          </cell>
          <cell r="K74" t="str">
            <v>IE Manager</v>
          </cell>
          <cell r="L74" t="str">
            <v>x</v>
          </cell>
          <cell r="M74" t="str">
            <v>x</v>
          </cell>
          <cell r="O74" t="str">
            <v>You-hong.Chen@amphenol-cbs.com</v>
          </cell>
        </row>
        <row r="75">
          <cell r="C75" t="str">
            <v>Zong, Tong</v>
          </cell>
          <cell r="D75" t="str">
            <v>宗统</v>
          </cell>
          <cell r="E75" t="str">
            <v>Jackly</v>
          </cell>
          <cell r="F75">
            <v>46149</v>
          </cell>
          <cell r="G75" t="str">
            <v>IDL</v>
          </cell>
          <cell r="H75" t="str">
            <v>Welding Engineer</v>
          </cell>
          <cell r="I75" t="str">
            <v>ME</v>
          </cell>
          <cell r="J75">
            <v>18211966804</v>
          </cell>
          <cell r="K75" t="str">
            <v>Deputy Plant Manager</v>
          </cell>
          <cell r="L75" t="str">
            <v>x</v>
          </cell>
          <cell r="M75" t="str">
            <v>x</v>
          </cell>
          <cell r="O75" t="str">
            <v>Jackly.Zong@amphenol-cbs.com</v>
          </cell>
        </row>
        <row r="76">
          <cell r="B76" t="str">
            <v>CNT0039</v>
          </cell>
          <cell r="C76" t="str">
            <v>Guo, Shouwu</v>
          </cell>
          <cell r="D76" t="str">
            <v>郭寿武</v>
          </cell>
          <cell r="E76" t="str">
            <v>Gavin</v>
          </cell>
          <cell r="F76">
            <v>46148</v>
          </cell>
          <cell r="G76" t="str">
            <v>IDL</v>
          </cell>
          <cell r="H76" t="str">
            <v>Production Supervisor/ Giám sát sản xuất</v>
          </cell>
          <cell r="I76" t="str">
            <v>Production</v>
          </cell>
          <cell r="J76">
            <v>13410902392</v>
          </cell>
          <cell r="K76" t="str">
            <v>Production Manager</v>
          </cell>
          <cell r="L76" t="str">
            <v>x</v>
          </cell>
          <cell r="M76" t="str">
            <v>x</v>
          </cell>
          <cell r="O76" t="str">
            <v>Gavin.Guo@amphenol-cbs.com</v>
          </cell>
        </row>
        <row r="77">
          <cell r="B77" t="str">
            <v>CNT0040</v>
          </cell>
          <cell r="C77" t="str">
            <v>Zou, Cangsong</v>
          </cell>
          <cell r="D77" t="str">
            <v>邹苍松</v>
          </cell>
          <cell r="E77" t="str">
            <v>Peter</v>
          </cell>
          <cell r="F77">
            <v>46148</v>
          </cell>
          <cell r="G77" t="str">
            <v>IDL</v>
          </cell>
          <cell r="H77" t="str">
            <v>Automation Engineer/ Kỹ sư tự động hóa</v>
          </cell>
          <cell r="I77" t="str">
            <v>ME</v>
          </cell>
          <cell r="J77">
            <v>17620044246</v>
          </cell>
          <cell r="K77" t="str">
            <v>Deputy Plant Manager</v>
          </cell>
          <cell r="L77" t="str">
            <v>x</v>
          </cell>
          <cell r="M77" t="str">
            <v>x</v>
          </cell>
          <cell r="O77" t="str">
            <v>Peter.Zou@amphenol-cbs.com</v>
          </cell>
        </row>
        <row r="78">
          <cell r="C78" t="str">
            <v>Dong, Yunxing</v>
          </cell>
          <cell r="D78" t="str">
            <v>董云星</v>
          </cell>
          <cell r="E78" t="str">
            <v>Neil</v>
          </cell>
          <cell r="F78">
            <v>46150</v>
          </cell>
          <cell r="G78" t="str">
            <v>IDL</v>
          </cell>
          <cell r="H78" t="str">
            <v>Deputy Production Manager</v>
          </cell>
          <cell r="I78" t="str">
            <v>Production</v>
          </cell>
          <cell r="J78">
            <v>18734855101</v>
          </cell>
          <cell r="K78" t="str">
            <v>Production Manager</v>
          </cell>
          <cell r="L78" t="str">
            <v>x</v>
          </cell>
          <cell r="M78" t="str">
            <v>x</v>
          </cell>
          <cell r="N78" t="str">
            <v>Cancel offer</v>
          </cell>
          <cell r="O78" t="str">
            <v>Neil.Dong@amphenol-cbs.com</v>
          </cell>
        </row>
        <row r="79">
          <cell r="C79" t="str">
            <v>Guo, Xuqian</v>
          </cell>
          <cell r="D79" t="str">
            <v>郭绪乾</v>
          </cell>
          <cell r="E79" t="str">
            <v>Gantt</v>
          </cell>
          <cell r="F79">
            <v>46153</v>
          </cell>
          <cell r="G79" t="str">
            <v>IDL</v>
          </cell>
          <cell r="H79" t="str">
            <v>IE Manager</v>
          </cell>
          <cell r="I79" t="str">
            <v>IE</v>
          </cell>
          <cell r="J79">
            <v>18938863532</v>
          </cell>
          <cell r="K79" t="str">
            <v>Deputy Plant Manager</v>
          </cell>
          <cell r="L79" t="str">
            <v>x</v>
          </cell>
          <cell r="M79" t="str">
            <v>x</v>
          </cell>
          <cell r="O79" t="str">
            <v>Gantt.Guo@amphenol-cbs.com</v>
          </cell>
        </row>
        <row r="80">
          <cell r="C80" t="str">
            <v>Zang, Chuantao</v>
          </cell>
          <cell r="D80" t="str">
            <v>臧传涛</v>
          </cell>
          <cell r="E80" t="str">
            <v>Gavin</v>
          </cell>
          <cell r="F80">
            <v>46160</v>
          </cell>
          <cell r="G80" t="str">
            <v>IDL</v>
          </cell>
          <cell r="H80" t="str">
            <v>Automation Engineer/ Kỹ sư tự động hóa</v>
          </cell>
          <cell r="I80" t="str">
            <v>Automation Engineering</v>
          </cell>
          <cell r="J80">
            <v>15665718265</v>
          </cell>
          <cell r="K80" t="str">
            <v>Deputy Plant Manager</v>
          </cell>
          <cell r="L80" t="str">
            <v>x</v>
          </cell>
          <cell r="M80" t="str">
            <v>x</v>
          </cell>
          <cell r="O80" t="str">
            <v>Gavin.Zang@amphenol-cbs.com</v>
          </cell>
        </row>
        <row r="81">
          <cell r="C81" t="str">
            <v>Yan, Dongxu</v>
          </cell>
          <cell r="D81" t="str">
            <v>闫东旭</v>
          </cell>
          <cell r="E81" t="str">
            <v>Aden</v>
          </cell>
          <cell r="F81">
            <v>46153</v>
          </cell>
          <cell r="G81" t="str">
            <v>IDL</v>
          </cell>
          <cell r="H81" t="str">
            <v>AOI Engineer</v>
          </cell>
          <cell r="I81" t="str">
            <v>Test</v>
          </cell>
          <cell r="J81">
            <v>19863968527</v>
          </cell>
          <cell r="K81" t="str">
            <v>Testing Manager</v>
          </cell>
          <cell r="L81" t="str">
            <v>x</v>
          </cell>
          <cell r="M81" t="str">
            <v>x</v>
          </cell>
          <cell r="O81" t="str">
            <v>Aden.yan@amphenol-cbs.com</v>
          </cell>
        </row>
        <row r="82">
          <cell r="C82" t="str">
            <v>Qu, Lingjie</v>
          </cell>
          <cell r="D82" t="str">
            <v>瞿灵杰</v>
          </cell>
          <cell r="E82" t="str">
            <v>Gerry</v>
          </cell>
          <cell r="F82">
            <v>46153</v>
          </cell>
          <cell r="G82" t="str">
            <v>IDL</v>
          </cell>
          <cell r="H82" t="str">
            <v>Automation Engineer/ Kỹ sư tự động hóa</v>
          </cell>
          <cell r="I82" t="str">
            <v>ME</v>
          </cell>
          <cell r="J82">
            <v>18120057709</v>
          </cell>
          <cell r="K82" t="str">
            <v>Deputy Plant Manager</v>
          </cell>
          <cell r="L82" t="str">
            <v>x</v>
          </cell>
          <cell r="M82" t="str">
            <v>x</v>
          </cell>
          <cell r="O82" t="str">
            <v>Gerry.Qu@amphenol-cbs.com</v>
          </cell>
        </row>
        <row r="83">
          <cell r="C83" t="str">
            <v>Hu, Xinxin</v>
          </cell>
          <cell r="D83" t="str">
            <v>胡鑫鑫</v>
          </cell>
          <cell r="E83" t="str">
            <v>Silas</v>
          </cell>
          <cell r="F83">
            <v>46153</v>
          </cell>
          <cell r="G83" t="str">
            <v>IDL</v>
          </cell>
          <cell r="H83" t="str">
            <v>Deputy Facility Manager</v>
          </cell>
          <cell r="I83" t="str">
            <v>Facility</v>
          </cell>
          <cell r="J83">
            <v>18006741371</v>
          </cell>
          <cell r="K83" t="str">
            <v>Deputy Plant Manager</v>
          </cell>
          <cell r="L83" t="str">
            <v>x</v>
          </cell>
          <cell r="M83" t="str">
            <v>x</v>
          </cell>
          <cell r="O83" t="str">
            <v>Silis.Hu@amphenol-cbs.com</v>
          </cell>
        </row>
        <row r="84">
          <cell r="C84" t="str">
            <v>Xie, Jinhua</v>
          </cell>
          <cell r="D84" t="str">
            <v>谢金花</v>
          </cell>
          <cell r="E84" t="str">
            <v>Nina</v>
          </cell>
          <cell r="F84">
            <v>46162</v>
          </cell>
          <cell r="G84" t="str">
            <v>IDL</v>
          </cell>
          <cell r="H84" t="str">
            <v>Deputy MRO Purchasing Manager</v>
          </cell>
          <cell r="I84" t="str">
            <v>Purchasing</v>
          </cell>
          <cell r="J84">
            <v>15778038826</v>
          </cell>
          <cell r="K84" t="str">
            <v>Deputy Plant Manager</v>
          </cell>
          <cell r="L84" t="str">
            <v>x</v>
          </cell>
          <cell r="M84" t="str">
            <v>x</v>
          </cell>
          <cell r="O84" t="str">
            <v>Nina.Xie@amphenol-cbs.com</v>
          </cell>
        </row>
        <row r="85">
          <cell r="C85" t="str">
            <v>Hou, Lanbo</v>
          </cell>
          <cell r="D85" t="str">
            <v>侯兰波</v>
          </cell>
          <cell r="E85" t="str">
            <v>Rambo</v>
          </cell>
          <cell r="F85">
            <v>46150</v>
          </cell>
          <cell r="G85" t="str">
            <v>IDL</v>
          </cell>
          <cell r="H85" t="str">
            <v xml:space="preserve"> Senior ME Engineer</v>
          </cell>
          <cell r="I85" t="str">
            <v>ME</v>
          </cell>
          <cell r="J85">
            <v>18365637957</v>
          </cell>
          <cell r="K85" t="str">
            <v>Deputy Plant Manager</v>
          </cell>
          <cell r="L85" t="str">
            <v>x</v>
          </cell>
          <cell r="M85" t="str">
            <v>x</v>
          </cell>
          <cell r="O85" t="str">
            <v>Rambo.Hou@amphenol-cbs.com</v>
          </cell>
        </row>
        <row r="86">
          <cell r="C86" t="str">
            <v>Li, Jinlin</v>
          </cell>
          <cell r="D86" t="str">
            <v>黎金林</v>
          </cell>
          <cell r="E86" t="str">
            <v>Jerry</v>
          </cell>
          <cell r="F86">
            <v>46167</v>
          </cell>
          <cell r="G86" t="str">
            <v>IDL</v>
          </cell>
          <cell r="H86" t="str">
            <v>Deputy Production Manager</v>
          </cell>
          <cell r="I86" t="str">
            <v>Production</v>
          </cell>
          <cell r="J86">
            <v>13631427912</v>
          </cell>
          <cell r="K86" t="str">
            <v>Production Manager</v>
          </cell>
          <cell r="L86" t="str">
            <v>x</v>
          </cell>
          <cell r="M86" t="str">
            <v>x</v>
          </cell>
          <cell r="O86" t="str">
            <v>Jerry.Li@amphenol-cbs.com</v>
          </cell>
        </row>
        <row r="87">
          <cell r="B87" t="str">
            <v>CNT0034</v>
          </cell>
          <cell r="C87" t="str">
            <v>Gui, Linyu</v>
          </cell>
          <cell r="D87" t="str">
            <v>桂林宇</v>
          </cell>
          <cell r="E87" t="str">
            <v>Ethan</v>
          </cell>
          <cell r="F87">
            <v>46136</v>
          </cell>
          <cell r="G87" t="str">
            <v>IDL</v>
          </cell>
          <cell r="H87" t="str">
            <v>Welding Engineer</v>
          </cell>
          <cell r="I87" t="str">
            <v>ME</v>
          </cell>
          <cell r="J87">
            <v>15251768396</v>
          </cell>
          <cell r="K87" t="str">
            <v>Deputy Plant Manager</v>
          </cell>
          <cell r="L87" t="str">
            <v>x</v>
          </cell>
          <cell r="M87" t="str">
            <v>x</v>
          </cell>
          <cell r="O87" t="str">
            <v>Ethan.Gui@amphenol-cbs.com</v>
          </cell>
        </row>
        <row r="88">
          <cell r="C88" t="str">
            <v>Yao, Yaru</v>
          </cell>
          <cell r="D88" t="str">
            <v>姚雅茹</v>
          </cell>
          <cell r="E88" t="str">
            <v>Rose</v>
          </cell>
          <cell r="F88">
            <v>46174</v>
          </cell>
          <cell r="G88" t="str">
            <v>IDL</v>
          </cell>
          <cell r="H88" t="str">
            <v>Project Manager</v>
          </cell>
          <cell r="I88" t="str">
            <v>Project Management</v>
          </cell>
          <cell r="J88">
            <v>18813672758</v>
          </cell>
          <cell r="K88" t="str">
            <v>Deputy Plant Manager</v>
          </cell>
          <cell r="L88" t="str">
            <v>x</v>
          </cell>
          <cell r="M88" t="str">
            <v>x</v>
          </cell>
          <cell r="O88" t="str">
            <v>Rose.Yao@amphenol-cbs.com</v>
          </cell>
        </row>
        <row r="89">
          <cell r="C89" t="str">
            <v>Wu, Jinzhi</v>
          </cell>
          <cell r="D89" t="str">
            <v>伍金志</v>
          </cell>
          <cell r="E89" t="str">
            <v>James</v>
          </cell>
          <cell r="F89">
            <v>46162</v>
          </cell>
          <cell r="G89" t="str">
            <v>IDL</v>
          </cell>
          <cell r="H89" t="str">
            <v>Logistics Supervisor</v>
          </cell>
          <cell r="I89" t="str">
            <v>SCM</v>
          </cell>
          <cell r="J89">
            <v>13430769554</v>
          </cell>
          <cell r="K89" t="str">
            <v>SCM Manager</v>
          </cell>
          <cell r="L89" t="str">
            <v>x</v>
          </cell>
          <cell r="M89" t="str">
            <v>x</v>
          </cell>
          <cell r="O89" t="str">
            <v>James.Wu@amphenol-cbs.com</v>
          </cell>
        </row>
        <row r="90">
          <cell r="C90" t="str">
            <v>Song, Kaile</v>
          </cell>
          <cell r="D90" t="str">
            <v>宋凯乐</v>
          </cell>
          <cell r="E90" t="str">
            <v>Gavin</v>
          </cell>
          <cell r="F90">
            <v>46162</v>
          </cell>
          <cell r="G90" t="str">
            <v>IDL</v>
          </cell>
          <cell r="H90" t="str">
            <v>PQE</v>
          </cell>
          <cell r="I90" t="str">
            <v>Quality</v>
          </cell>
          <cell r="J90">
            <v>15162310506</v>
          </cell>
          <cell r="K90" t="str">
            <v>Quality Manager</v>
          </cell>
          <cell r="L90" t="str">
            <v>x</v>
          </cell>
          <cell r="M90" t="str">
            <v>x</v>
          </cell>
          <cell r="O90" t="str">
            <v>Gavin.Song@amphenol-cbs.com</v>
          </cell>
        </row>
        <row r="91">
          <cell r="C91" t="str">
            <v>Wu, Kang</v>
          </cell>
          <cell r="D91" t="str">
            <v>吴康</v>
          </cell>
          <cell r="E91" t="str">
            <v>Grant</v>
          </cell>
          <cell r="F91">
            <v>46162</v>
          </cell>
          <cell r="G91" t="str">
            <v>IDL</v>
          </cell>
          <cell r="H91" t="str">
            <v>PQE</v>
          </cell>
          <cell r="I91" t="str">
            <v>Quality</v>
          </cell>
          <cell r="J91">
            <v>15366965918</v>
          </cell>
          <cell r="K91" t="str">
            <v>Quality Manager</v>
          </cell>
          <cell r="L91" t="str">
            <v>x</v>
          </cell>
          <cell r="M91" t="str">
            <v>x</v>
          </cell>
          <cell r="O91" t="str">
            <v>Grant.Wu@amphenol-cbs.com</v>
          </cell>
        </row>
        <row r="92">
          <cell r="C92" t="str">
            <v>Liu, Lei</v>
          </cell>
          <cell r="D92" t="str">
            <v>刘磊</v>
          </cell>
          <cell r="E92" t="str">
            <v>Eden</v>
          </cell>
          <cell r="F92">
            <v>46160</v>
          </cell>
          <cell r="G92" t="str">
            <v>IDL</v>
          </cell>
          <cell r="H92" t="str">
            <v>Bert Engineer</v>
          </cell>
          <cell r="I92" t="str">
            <v>Test</v>
          </cell>
          <cell r="J92">
            <v>15572145965</v>
          </cell>
          <cell r="K92" t="str">
            <v>Test Manager</v>
          </cell>
          <cell r="L92" t="str">
            <v>x</v>
          </cell>
          <cell r="M92" t="str">
            <v>x</v>
          </cell>
          <cell r="O92" t="str">
            <v>Eden.Liu@amphenol-cbs.com</v>
          </cell>
        </row>
        <row r="93">
          <cell r="C93" t="str">
            <v>Zhong, Luyao</v>
          </cell>
          <cell r="D93" t="str">
            <v>钟璐遥</v>
          </cell>
          <cell r="E93" t="str">
            <v>Abby</v>
          </cell>
          <cell r="F93">
            <v>46168</v>
          </cell>
          <cell r="G93" t="str">
            <v>IDL</v>
          </cell>
          <cell r="H93" t="str">
            <v>Operation Training Supervisor</v>
          </cell>
          <cell r="I93" t="str">
            <v>Production</v>
          </cell>
          <cell r="J93">
            <v>18468299932</v>
          </cell>
          <cell r="K93" t="str">
            <v>Production Manager</v>
          </cell>
          <cell r="L93" t="str">
            <v>x</v>
          </cell>
          <cell r="M93" t="str">
            <v>x</v>
          </cell>
          <cell r="O93" t="str">
            <v>Abby.Zhong@amphenol-cbs.com</v>
          </cell>
        </row>
        <row r="94">
          <cell r="C94" t="str">
            <v>Hui, Weiqian</v>
          </cell>
          <cell r="D94" t="str">
            <v>惠伟前</v>
          </cell>
          <cell r="E94" t="str">
            <v>George</v>
          </cell>
          <cell r="F94">
            <v>46174</v>
          </cell>
          <cell r="G94" t="str">
            <v>IDL</v>
          </cell>
          <cell r="H94" t="str">
            <v>NPI  Expert</v>
          </cell>
          <cell r="I94" t="str">
            <v>NPI</v>
          </cell>
          <cell r="J94">
            <v>13929463930</v>
          </cell>
          <cell r="K94" t="str">
            <v>Production Manager</v>
          </cell>
          <cell r="L94" t="str">
            <v>x</v>
          </cell>
          <cell r="M94" t="str">
            <v>x</v>
          </cell>
          <cell r="O94" t="str">
            <v>George.Hui@amphenol-cbs.com</v>
          </cell>
        </row>
        <row r="95">
          <cell r="D95" t="str">
            <v>梁在金</v>
          </cell>
          <cell r="F95">
            <v>46162</v>
          </cell>
          <cell r="G95" t="str">
            <v>IDL</v>
          </cell>
          <cell r="H95" t="str">
            <v>Logistics Supervisor</v>
          </cell>
          <cell r="I95" t="str">
            <v>SCM</v>
          </cell>
          <cell r="J95">
            <v>19968232333</v>
          </cell>
          <cell r="K95" t="str">
            <v>NA</v>
          </cell>
          <cell r="L95" t="str">
            <v>x</v>
          </cell>
          <cell r="M95" t="str">
            <v>x</v>
          </cell>
          <cell r="N95" t="str">
            <v>Cancel offer</v>
          </cell>
        </row>
        <row r="96">
          <cell r="B96" t="str">
            <v>CBS0071</v>
          </cell>
          <cell r="C96" t="str">
            <v>Đinh Thị Thanh</v>
          </cell>
          <cell r="E96" t="str">
            <v>Sia</v>
          </cell>
          <cell r="F96">
            <v>46132</v>
          </cell>
          <cell r="G96" t="str">
            <v>IDL</v>
          </cell>
          <cell r="H96" t="str">
            <v>Material Clerk</v>
          </cell>
          <cell r="I96" t="str">
            <v>Production</v>
          </cell>
          <cell r="J96">
            <v>971594991</v>
          </cell>
          <cell r="K96" t="str">
            <v>Production Manager</v>
          </cell>
          <cell r="L96" t="str">
            <v>x</v>
          </cell>
          <cell r="M96" t="str">
            <v>x</v>
          </cell>
          <cell r="O96" t="str">
            <v>Sia.Thanh@amphenol-cbs.com</v>
          </cell>
        </row>
        <row r="97">
          <cell r="B97" t="str">
            <v>CBS0079</v>
          </cell>
          <cell r="C97" t="str">
            <v>Đinh Thị Diệu Thúy</v>
          </cell>
          <cell r="E97" t="str">
            <v>Luna</v>
          </cell>
          <cell r="F97">
            <v>46148</v>
          </cell>
          <cell r="G97" t="str">
            <v>IDL</v>
          </cell>
          <cell r="H97" t="str">
            <v>Purchasing Staff</v>
          </cell>
          <cell r="I97" t="str">
            <v>Purchasing</v>
          </cell>
          <cell r="J97">
            <v>359191338</v>
          </cell>
          <cell r="K97" t="str">
            <v>Production Manager</v>
          </cell>
          <cell r="L97" t="str">
            <v>x</v>
          </cell>
          <cell r="M97" t="str">
            <v>x</v>
          </cell>
          <cell r="O97" t="str">
            <v>Luna.Thuy@amphenol-cbs.com</v>
          </cell>
        </row>
        <row r="98">
          <cell r="B98" t="str">
            <v>CBS0080</v>
          </cell>
          <cell r="C98" t="str">
            <v>Nguyễn Thị Huế</v>
          </cell>
          <cell r="E98" t="str">
            <v>Cici</v>
          </cell>
          <cell r="F98">
            <v>46148</v>
          </cell>
          <cell r="G98" t="str">
            <v>IDL</v>
          </cell>
          <cell r="H98" t="str">
            <v>Production Clerk</v>
          </cell>
          <cell r="I98" t="str">
            <v>Production</v>
          </cell>
          <cell r="J98">
            <v>979452696</v>
          </cell>
          <cell r="K98" t="str">
            <v>Production Manager</v>
          </cell>
          <cell r="L98" t="str">
            <v>x</v>
          </cell>
          <cell r="M98" t="str">
            <v>x</v>
          </cell>
          <cell r="O98" t="str">
            <v>Cici.Hue@amphenol-cbs.com</v>
          </cell>
        </row>
        <row r="99">
          <cell r="B99" t="str">
            <v>CBS0078</v>
          </cell>
          <cell r="C99" t="str">
            <v>Triệu Hồng Sơn</v>
          </cell>
          <cell r="E99" t="str">
            <v>Mason</v>
          </cell>
          <cell r="F99">
            <v>46146</v>
          </cell>
          <cell r="G99" t="str">
            <v>IDL</v>
          </cell>
          <cell r="H99" t="str">
            <v>Phiên dịch viên ME/ ME Translator</v>
          </cell>
          <cell r="I99" t="str">
            <v>Bộ phận ME/ ME</v>
          </cell>
          <cell r="J99">
            <v>987321504</v>
          </cell>
          <cell r="K99" t="str">
            <v>ME Manager</v>
          </cell>
          <cell r="L99" t="str">
            <v>x</v>
          </cell>
          <cell r="M99" t="str">
            <v>x</v>
          </cell>
          <cell r="O99" t="str">
            <v>Mason.Son@amphenol-cbs.com</v>
          </cell>
        </row>
        <row r="100">
          <cell r="C100" t="str">
            <v>Nguyễn Thị Thư</v>
          </cell>
          <cell r="E100" t="str">
            <v>Jea</v>
          </cell>
          <cell r="F100">
            <v>46153</v>
          </cell>
          <cell r="G100" t="str">
            <v>IDL</v>
          </cell>
          <cell r="H100" t="str">
            <v xml:space="preserve">Trợ lý/Admin </v>
          </cell>
          <cell r="I100" t="str">
            <v>HR</v>
          </cell>
          <cell r="J100">
            <v>963805305</v>
          </cell>
          <cell r="K100" t="str">
            <v>HR Admin Manager</v>
          </cell>
          <cell r="L100" t="str">
            <v>x</v>
          </cell>
          <cell r="M100" t="str">
            <v>x</v>
          </cell>
          <cell r="O100" t="str">
            <v>Jea.Thu@amphenol-cbs.com</v>
          </cell>
        </row>
        <row r="101">
          <cell r="C101" t="str">
            <v>Dương Đức Trọng</v>
          </cell>
          <cell r="E101" t="str">
            <v>DT</v>
          </cell>
          <cell r="F101">
            <v>46167</v>
          </cell>
          <cell r="G101" t="str">
            <v>IDL</v>
          </cell>
          <cell r="H101" t="str">
            <v>Phó phòng Test/ Deputy Test Manager</v>
          </cell>
          <cell r="I101" t="str">
            <v>Test</v>
          </cell>
          <cell r="J101">
            <v>975405204</v>
          </cell>
          <cell r="K101" t="str">
            <v>Test Manager</v>
          </cell>
          <cell r="L101" t="str">
            <v>x</v>
          </cell>
          <cell r="M101" t="str">
            <v>x</v>
          </cell>
          <cell r="N101" t="str">
            <v>cancel offer</v>
          </cell>
          <cell r="O101" t="str">
            <v>DT.Trong@amphenol-cbs.com</v>
          </cell>
        </row>
        <row r="102">
          <cell r="C102" t="str">
            <v>Vũ Trọng Dư</v>
          </cell>
          <cell r="E102" t="str">
            <v>Owen</v>
          </cell>
          <cell r="F102">
            <v>46162</v>
          </cell>
          <cell r="G102" t="str">
            <v>IDL</v>
          </cell>
          <cell r="H102" t="str">
            <v>TPM Engineer / Kỹ sư bảo trì</v>
          </cell>
          <cell r="I102" t="str">
            <v>ME</v>
          </cell>
          <cell r="J102">
            <v>979000712</v>
          </cell>
          <cell r="K102" t="str">
            <v>Deputy Plant Manager</v>
          </cell>
          <cell r="L102" t="str">
            <v>x</v>
          </cell>
          <cell r="M102" t="str">
            <v>x</v>
          </cell>
          <cell r="O102" t="str">
            <v>Owen.Du@amphenol-cbs.com</v>
          </cell>
        </row>
        <row r="103">
          <cell r="C103" t="str">
            <v>Vương Văn Cường</v>
          </cell>
          <cell r="E103" t="str">
            <v>Ethan</v>
          </cell>
          <cell r="F103">
            <v>46160</v>
          </cell>
          <cell r="G103" t="str">
            <v>IDL</v>
          </cell>
          <cell r="H103" t="str">
            <v>Kỹ sư ME/ ME Engineer</v>
          </cell>
          <cell r="I103" t="str">
            <v>ME</v>
          </cell>
          <cell r="J103">
            <v>969956923</v>
          </cell>
          <cell r="K103" t="str">
            <v>ME Manager</v>
          </cell>
          <cell r="L103" t="str">
            <v>x</v>
          </cell>
          <cell r="M103" t="str">
            <v>x</v>
          </cell>
          <cell r="O103" t="str">
            <v xml:space="preserve">Ethan.Cuong@amphenol-cbs.com
</v>
          </cell>
        </row>
        <row r="104">
          <cell r="B104" t="str">
            <v>CBS0081</v>
          </cell>
          <cell r="C104" t="str">
            <v>Lê Anh Dũng</v>
          </cell>
          <cell r="E104" t="str">
            <v>Andy</v>
          </cell>
          <cell r="F104">
            <v>46148</v>
          </cell>
          <cell r="G104" t="str">
            <v>IDL</v>
          </cell>
          <cell r="H104" t="str">
            <v>IE Engineer/ Kỹ sư IE</v>
          </cell>
          <cell r="I104" t="str">
            <v>ME</v>
          </cell>
          <cell r="J104" t="str">
            <v>0919 880 535</v>
          </cell>
          <cell r="K104" t="str">
            <v>Deputy Plant Manager</v>
          </cell>
          <cell r="L104" t="str">
            <v>x</v>
          </cell>
          <cell r="M104" t="str">
            <v>x</v>
          </cell>
          <cell r="O104" t="str">
            <v>Andy.Dung@amphenol-cbs.com</v>
          </cell>
        </row>
        <row r="105">
          <cell r="C105" t="str">
            <v>Hoàng Thị Hạnh</v>
          </cell>
          <cell r="E105" t="str">
            <v>Chloe</v>
          </cell>
          <cell r="F105">
            <v>46153</v>
          </cell>
          <cell r="G105" t="str">
            <v>IDL</v>
          </cell>
          <cell r="H105" t="str">
            <v>Phiên dịch viên / Translator</v>
          </cell>
          <cell r="I105" t="str">
            <v>Production</v>
          </cell>
          <cell r="J105">
            <v>374429022</v>
          </cell>
          <cell r="K105" t="str">
            <v>Production Manager</v>
          </cell>
          <cell r="L105" t="str">
            <v>x</v>
          </cell>
          <cell r="M105" t="str">
            <v>x</v>
          </cell>
          <cell r="O105" t="str">
            <v>Chloe.Hanh@amphenol-cbs.com</v>
          </cell>
        </row>
        <row r="106">
          <cell r="B106" t="str">
            <v>CNT0036</v>
          </cell>
          <cell r="C106" t="str">
            <v>Lin, Libao</v>
          </cell>
          <cell r="D106" t="str">
            <v>林立保</v>
          </cell>
          <cell r="E106" t="str">
            <v>Baron</v>
          </cell>
          <cell r="F106">
            <v>46147</v>
          </cell>
          <cell r="G106" t="str">
            <v>IDL</v>
          </cell>
          <cell r="H106" t="str">
            <v>Deputy HR &amp; Admin Manager/ Phó phòng hành chính nhân sự</v>
          </cell>
          <cell r="I106" t="str">
            <v>HR Admin</v>
          </cell>
          <cell r="J106">
            <v>13510214621</v>
          </cell>
          <cell r="K106" t="str">
            <v>Deputy Plant Manager</v>
          </cell>
          <cell r="L106" t="str">
            <v>x</v>
          </cell>
          <cell r="M106" t="str">
            <v>x</v>
          </cell>
          <cell r="O106" t="str">
            <v>Baron.Lin@amphenol-cbs.com</v>
          </cell>
        </row>
        <row r="107">
          <cell r="C107" t="str">
            <v>Ma, San</v>
          </cell>
          <cell r="D107" t="str">
            <v>马贵翰</v>
          </cell>
          <cell r="E107" t="str">
            <v>San</v>
          </cell>
          <cell r="F107">
            <v>46174</v>
          </cell>
          <cell r="G107" t="str">
            <v>IDL</v>
          </cell>
          <cell r="H107" t="str">
            <v>AOI Engineer/ Kỹ sư AOI</v>
          </cell>
          <cell r="I107" t="str">
            <v>Test</v>
          </cell>
          <cell r="J107">
            <v>13667872957</v>
          </cell>
          <cell r="K107" t="str">
            <v>Test Manager</v>
          </cell>
          <cell r="L107" t="str">
            <v>x</v>
          </cell>
          <cell r="M107" t="str">
            <v>x</v>
          </cell>
          <cell r="O107" t="str">
            <v>San.Ma@amphenol-cbs.com</v>
          </cell>
        </row>
        <row r="108">
          <cell r="B108" t="str">
            <v>CBS0077</v>
          </cell>
          <cell r="C108" t="str">
            <v>Trương Mỹ Linh</v>
          </cell>
          <cell r="E108" t="str">
            <v>Miley</v>
          </cell>
          <cell r="F108">
            <v>46146</v>
          </cell>
          <cell r="G108" t="str">
            <v>IDL</v>
          </cell>
          <cell r="H108" t="str">
            <v>Nhân viên kiểm soát tài liệu/Document Controller</v>
          </cell>
          <cell r="I108" t="str">
            <v>PE</v>
          </cell>
          <cell r="J108">
            <v>398552683</v>
          </cell>
          <cell r="K108" t="str">
            <v>Product Engineer Leader</v>
          </cell>
          <cell r="L108" t="str">
            <v>x</v>
          </cell>
          <cell r="M108" t="str">
            <v>x</v>
          </cell>
          <cell r="O108" t="str">
            <v>Miley.Linh@amphenol-cbs.com</v>
          </cell>
        </row>
        <row r="109">
          <cell r="C109" t="str">
            <v>Nguyễn Phước Lộc</v>
          </cell>
          <cell r="E109" t="str">
            <v>Alex</v>
          </cell>
          <cell r="F109">
            <v>46167</v>
          </cell>
          <cell r="G109" t="str">
            <v>IDL</v>
          </cell>
          <cell r="H109" t="str">
            <v>Chuyên viên quản lý dự án NPI/Senior NPI PM</v>
          </cell>
          <cell r="I109" t="str">
            <v>NPI</v>
          </cell>
          <cell r="J109">
            <v>985425671</v>
          </cell>
          <cell r="K109" t="str">
            <v>Asia NPI Director</v>
          </cell>
          <cell r="L109" t="str">
            <v>x</v>
          </cell>
          <cell r="M109" t="str">
            <v>x</v>
          </cell>
          <cell r="O109" t="str">
            <v>Alex.Loc@amphenol-cbs.com</v>
          </cell>
        </row>
        <row r="110">
          <cell r="C110" t="str">
            <v>Nguyễn Thị Thu Hương</v>
          </cell>
          <cell r="E110" t="str">
            <v>Gemi</v>
          </cell>
          <cell r="F110">
            <v>46150</v>
          </cell>
          <cell r="G110" t="str">
            <v>IDL</v>
          </cell>
          <cell r="H110" t="str">
            <v>Phiên dịch viên / Translator</v>
          </cell>
          <cell r="I110" t="str">
            <v>Production</v>
          </cell>
          <cell r="J110">
            <v>868690630</v>
          </cell>
          <cell r="K110" t="str">
            <v>Production Manager</v>
          </cell>
          <cell r="L110" t="str">
            <v>x</v>
          </cell>
          <cell r="M110" t="str">
            <v>x</v>
          </cell>
          <cell r="O110" t="str">
            <v>Gemi.Huong@amphenol-cbs.com</v>
          </cell>
        </row>
        <row r="111">
          <cell r="B111" t="str">
            <v>P0483</v>
          </cell>
          <cell r="C111" t="str">
            <v>Nguyễn Huy Hưởng</v>
          </cell>
          <cell r="E111" t="str">
            <v>Dusk</v>
          </cell>
          <cell r="F111">
            <v>46146</v>
          </cell>
          <cell r="G111" t="str">
            <v>IDL</v>
          </cell>
          <cell r="H111" t="str">
            <v>Kỹ thuật viên IT/ IT Technician</v>
          </cell>
          <cell r="I111" t="str">
            <v>IT</v>
          </cell>
          <cell r="J111">
            <v>985696251</v>
          </cell>
          <cell r="K111" t="str">
            <v>IT Manager</v>
          </cell>
          <cell r="L111" t="str">
            <v>x</v>
          </cell>
          <cell r="M111" t="str">
            <v>x</v>
          </cell>
          <cell r="O111" t="str">
            <v>Dusk.Huong@amphenol-cbs.com</v>
          </cell>
        </row>
        <row r="112">
          <cell r="B112" t="str">
            <v>CNT0035</v>
          </cell>
          <cell r="C112" t="str">
            <v>Li, Mingchuan</v>
          </cell>
          <cell r="D112" t="str">
            <v>李名川</v>
          </cell>
          <cell r="E112" t="str">
            <v>Alex</v>
          </cell>
          <cell r="F112">
            <v>46146</v>
          </cell>
          <cell r="G112" t="str">
            <v>IDL</v>
          </cell>
          <cell r="H112" t="str">
            <v>HR &amp; Admin Supervisor/ Giám sát hành chính nhân sự</v>
          </cell>
          <cell r="I112" t="str">
            <v>HR Admin</v>
          </cell>
          <cell r="J112">
            <v>18015523141</v>
          </cell>
          <cell r="K112" t="str">
            <v>Deputy HR &amp; Admin Manager</v>
          </cell>
          <cell r="L112" t="str">
            <v>x</v>
          </cell>
          <cell r="M112" t="str">
            <v>x</v>
          </cell>
          <cell r="O112" t="str">
            <v>Alex.Li@amphenol-cbs.com</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ser List"/>
      <sheetName val="PC Infomation"/>
      <sheetName val="Model Info"/>
    </sheetNames>
    <sheetDataSet>
      <sheetData sheetId="0">
        <row r="4">
          <cell r="F4" t="str">
            <v>TTH-NB0001</v>
          </cell>
          <cell r="G4" t="str">
            <v>Cơ sở hạ tầng/
Facility</v>
          </cell>
          <cell r="H4" t="str">
            <v>YES</v>
          </cell>
          <cell r="I4" t="str">
            <v>YES</v>
          </cell>
          <cell r="J4" t="str">
            <v>HP elitebook 640 G11, core Ultra 5-125U, 16G Ram, 512Gb SSD, 14inch</v>
          </cell>
          <cell r="K4" t="str">
            <v>5CD534DZP5</v>
          </cell>
        </row>
        <row r="5">
          <cell r="F5" t="str">
            <v>TTH-NB0002</v>
          </cell>
          <cell r="G5" t="str">
            <v>Quản lý chuỗi cung ứng/ SCM</v>
          </cell>
          <cell r="H5" t="str">
            <v>YES</v>
          </cell>
          <cell r="I5" t="str">
            <v>YES</v>
          </cell>
          <cell r="J5" t="str">
            <v>HP elitebook 640 G11, core Ultra 5-125U, 16G Ram, 512Gb SSD, 14inch</v>
          </cell>
          <cell r="K5" t="str">
            <v>5CD5183JTG</v>
          </cell>
        </row>
        <row r="6">
          <cell r="F6" t="str">
            <v>TTH-NB0003</v>
          </cell>
          <cell r="G6" t="str">
            <v>Cơ sở hạ tầng/
Facility</v>
          </cell>
          <cell r="H6" t="str">
            <v>YES</v>
          </cell>
          <cell r="I6" t="str">
            <v>YES</v>
          </cell>
          <cell r="J6" t="str">
            <v>HP elitebook 640 G11, core Ultra 5-125U, 16G Ram, 512Gb SSD, 14inch</v>
          </cell>
          <cell r="K6" t="str">
            <v>5CD5183JQW</v>
          </cell>
        </row>
        <row r="7">
          <cell r="F7" t="str">
            <v>TTH-NB0004</v>
          </cell>
          <cell r="G7" t="str">
            <v>Bộ phận ME/ ME</v>
          </cell>
          <cell r="H7" t="str">
            <v>YES</v>
          </cell>
          <cell r="I7" t="str">
            <v>YES</v>
          </cell>
          <cell r="J7" t="str">
            <v>HP elitebook 640 G11, core Ultra 5-125U, 16G Ram, 512Gb SSD, 14inch</v>
          </cell>
          <cell r="K7" t="str">
            <v>5CD534DZNS</v>
          </cell>
        </row>
        <row r="8">
          <cell r="F8" t="str">
            <v>TTH-NB0005</v>
          </cell>
          <cell r="G8" t="str">
            <v>Thu mua/Purchase</v>
          </cell>
          <cell r="H8" t="str">
            <v>YES</v>
          </cell>
          <cell r="I8" t="str">
            <v>YES</v>
          </cell>
          <cell r="J8" t="str">
            <v>HP elitebook 640 G11, core Ultra 5-125U, 16G Ram, 512Gb SSD, 14inch</v>
          </cell>
          <cell r="K8" t="str">
            <v>5CD534DZR4</v>
          </cell>
        </row>
        <row r="9">
          <cell r="F9" t="str">
            <v>TTH-NB0006</v>
          </cell>
          <cell r="G9" t="str">
            <v>Thu mua/Purchase</v>
          </cell>
          <cell r="H9" t="str">
            <v>YES</v>
          </cell>
          <cell r="I9" t="str">
            <v>YES</v>
          </cell>
          <cell r="J9" t="str">
            <v>HP elitebook 640 G11, core Ultra 5-125U, 16G Ram, 512Gb SSD, 14inch</v>
          </cell>
          <cell r="K9" t="str">
            <v>5CD534DZR8</v>
          </cell>
        </row>
        <row r="10">
          <cell r="F10" t="str">
            <v>TTH-NB0008</v>
          </cell>
          <cell r="G10" t="str">
            <v>Hành chính nhân sự/ HR&amp;Admin</v>
          </cell>
          <cell r="H10" t="str">
            <v>YES</v>
          </cell>
          <cell r="I10" t="str">
            <v>YES</v>
          </cell>
          <cell r="J10" t="str">
            <v>HP elitebook 640 G11, core Ultra 5-125U, 16G Ram, 512Gb SSD, 14inch</v>
          </cell>
          <cell r="K10" t="str">
            <v>5CD534DZS4</v>
          </cell>
        </row>
        <row r="11">
          <cell r="F11" t="str">
            <v>TTH-NB0009</v>
          </cell>
          <cell r="G11" t="str">
            <v>Chất lượng/ Quality</v>
          </cell>
          <cell r="H11" t="str">
            <v>YES</v>
          </cell>
          <cell r="I11" t="str">
            <v>YES</v>
          </cell>
          <cell r="J11" t="str">
            <v>HP elitebook 640 G11, core Ultra 5-125U, 16G Ram, 512Gb SSD, 14inch</v>
          </cell>
          <cell r="K11" t="str">
            <v>5CD534DZNX</v>
          </cell>
        </row>
        <row r="12">
          <cell r="F12" t="str">
            <v>TTH-NB0010</v>
          </cell>
          <cell r="G12" t="str">
            <v>Hành chính nhân sự/ HR&amp;Admin</v>
          </cell>
          <cell r="H12" t="str">
            <v>YES</v>
          </cell>
          <cell r="I12" t="str">
            <v>YES</v>
          </cell>
          <cell r="J12" t="str">
            <v>HP elitebook 640 G11, core Ultra 5-125U, 16G Ram, 512Gb SSD, 14inch</v>
          </cell>
          <cell r="K12" t="str">
            <v>5CD534DVZR8</v>
          </cell>
        </row>
        <row r="13">
          <cell r="F13" t="str">
            <v>TTH-NB0011</v>
          </cell>
          <cell r="G13" t="str">
            <v>Bộ phận ME/ ME</v>
          </cell>
          <cell r="H13" t="str">
            <v>YES</v>
          </cell>
          <cell r="I13" t="str">
            <v>YES</v>
          </cell>
          <cell r="J13" t="str">
            <v>HP elitebook 640 G11, core Ultra 5-125U, 16G Ram, 512Gb SSD, 14inch</v>
          </cell>
          <cell r="K13" t="str">
            <v>5CD534DZQ9</v>
          </cell>
        </row>
        <row r="14">
          <cell r="F14" t="str">
            <v>TTH-NB0012</v>
          </cell>
          <cell r="G14" t="str">
            <v>Production</v>
          </cell>
          <cell r="H14" t="str">
            <v>YES</v>
          </cell>
          <cell r="I14" t="str">
            <v>YES</v>
          </cell>
          <cell r="J14" t="str">
            <v>HP elitebook 640 G11, core Ultra 5-125U, 16G Ram, 512Gb SSD, 14inch</v>
          </cell>
          <cell r="K14" t="str">
            <v>5CD5183JSP</v>
          </cell>
        </row>
        <row r="15">
          <cell r="F15" t="str">
            <v>TTH-NB0007</v>
          </cell>
          <cell r="G15" t="str">
            <v>Quản lý chuỗi cung ứng/ SCM</v>
          </cell>
          <cell r="H15" t="str">
            <v>YES</v>
          </cell>
          <cell r="I15" t="str">
            <v>YES</v>
          </cell>
          <cell r="J15" t="str">
            <v>HP elitebook 640 G11, core Ultra 5-125U, 16G Ram, 512Gb SSD, 14inch</v>
          </cell>
          <cell r="K15" t="str">
            <v>5CD534DZPR</v>
          </cell>
        </row>
        <row r="16">
          <cell r="F16" t="str">
            <v>TTH-NB0013</v>
          </cell>
          <cell r="G16" t="str">
            <v>Cơ sở hạ tầng/
Facility</v>
          </cell>
          <cell r="H16" t="str">
            <v>YES</v>
          </cell>
          <cell r="I16" t="str">
            <v>YES</v>
          </cell>
          <cell r="J16" t="str">
            <v>HP elitebook 640 G11, core Ultra 5-125U, 16G Ram, 512Gb SSD, 14inch</v>
          </cell>
          <cell r="K16" t="str">
            <v>5CD5183JS4</v>
          </cell>
        </row>
        <row r="17">
          <cell r="F17" t="str">
            <v>TTH-NB0014</v>
          </cell>
          <cell r="G17" t="str">
            <v>Cơ sở hạ tầng/
Facility</v>
          </cell>
          <cell r="H17" t="str">
            <v>YES</v>
          </cell>
          <cell r="I17" t="str">
            <v>YES</v>
          </cell>
          <cell r="J17" t="str">
            <v>HP elitebook 640 G11, core Ultra 5-125U, 16G Ram, 512Gb SSD, 14inch</v>
          </cell>
          <cell r="K17" t="str">
            <v>5CD534DZPN</v>
          </cell>
        </row>
        <row r="18">
          <cell r="F18" t="str">
            <v>TTH-NB0015</v>
          </cell>
          <cell r="G18" t="str">
            <v>Hành chính nhân sự/ HR&amp;Admin</v>
          </cell>
          <cell r="H18" t="str">
            <v>YES</v>
          </cell>
          <cell r="I18" t="str">
            <v>YES</v>
          </cell>
          <cell r="J18" t="str">
            <v>HP elitebook 640 G11, core Ultra 5-125U, 16G Ram, 512Gb SSD, 14inch</v>
          </cell>
          <cell r="K18" t="str">
            <v>5CD5183JT6</v>
          </cell>
        </row>
        <row r="19">
          <cell r="F19" t="str">
            <v>TTH-NB0016</v>
          </cell>
          <cell r="G19" t="str">
            <v>Bộ phận ME/ ME</v>
          </cell>
          <cell r="H19" t="str">
            <v>YES</v>
          </cell>
          <cell r="I19" t="str">
            <v>YES</v>
          </cell>
          <cell r="J19" t="str">
            <v>HP elitebook 640 G11, core Ultra 5-125U, 16G Ram, 512Gb SSD, 14inch</v>
          </cell>
          <cell r="K19" t="str">
            <v>5CD534DZNR</v>
          </cell>
        </row>
        <row r="20">
          <cell r="F20" t="str">
            <v>TTH-NB0017</v>
          </cell>
          <cell r="G20" t="str">
            <v>Trưởng phòng An toàn, Sức khỏe, Môi trường/ EHS Manager</v>
          </cell>
          <cell r="H20" t="str">
            <v>YES</v>
          </cell>
          <cell r="I20" t="str">
            <v>YES</v>
          </cell>
          <cell r="J20" t="str">
            <v>HP elitebook 640 G11, core Ultra 5-125U, 16G Ram, 512Gb SSD, 14inch</v>
          </cell>
          <cell r="K20" t="str">
            <v>5CD534DZPD</v>
          </cell>
        </row>
        <row r="21">
          <cell r="F21" t="str">
            <v>TTH-NB0018</v>
          </cell>
          <cell r="G21" t="str">
            <v>Chất lượng/ Quality</v>
          </cell>
          <cell r="H21" t="str">
            <v>YES</v>
          </cell>
          <cell r="I21" t="str">
            <v>YES</v>
          </cell>
          <cell r="J21" t="str">
            <v>HP elitebook 640 G11, core Ultra 5-125U, 16G Ram, 512Gb SSD, 14inch</v>
          </cell>
          <cell r="K21" t="str">
            <v>5CD534DZQH</v>
          </cell>
        </row>
        <row r="22">
          <cell r="F22" t="str">
            <v>TTH-NB0019</v>
          </cell>
          <cell r="G22" t="str">
            <v>Hành chính nhân sự/ HR&amp;Admin</v>
          </cell>
          <cell r="H22" t="str">
            <v>YES</v>
          </cell>
          <cell r="I22" t="str">
            <v>YES</v>
          </cell>
          <cell r="J22" t="str">
            <v>HP elitebook 640 G11, core Ultra 5-125U, 16G Ram, 512Gb SSD, 14inch</v>
          </cell>
          <cell r="K22" t="str">
            <v>5CD534DZNP</v>
          </cell>
        </row>
        <row r="23">
          <cell r="F23" t="str">
            <v>TTH-NB0020</v>
          </cell>
          <cell r="G23" t="str">
            <v>Hành chính nhân sự/ HR&amp;Admin</v>
          </cell>
          <cell r="H23" t="str">
            <v>YES</v>
          </cell>
          <cell r="I23" t="str">
            <v>YES</v>
          </cell>
          <cell r="J23" t="str">
            <v>HP elitebook 640 G11, core Ultra 5-125U, 16G Ram, 512Gb SSD, 14inch</v>
          </cell>
          <cell r="K23" t="str">
            <v>5CD534DZSC</v>
          </cell>
        </row>
        <row r="24">
          <cell r="F24" t="str">
            <v>TTH-NB0021</v>
          </cell>
          <cell r="G24" t="str">
            <v>Tài chính/
Finance</v>
          </cell>
          <cell r="H24" t="str">
            <v>YES</v>
          </cell>
          <cell r="I24" t="str">
            <v>YES</v>
          </cell>
          <cell r="J24" t="str">
            <v>HP elitebook 640 G11, core Ultra 5-125U, 16G Ram, 512Gb SSD, 14inch</v>
          </cell>
          <cell r="K24" t="str">
            <v>5CD534DZQD</v>
          </cell>
        </row>
        <row r="25">
          <cell r="F25" t="str">
            <v>TTH-NB0022</v>
          </cell>
          <cell r="G25" t="str">
            <v>Bộ phận ME/ ME</v>
          </cell>
          <cell r="H25" t="str">
            <v>YES</v>
          </cell>
          <cell r="I25" t="str">
            <v>YES</v>
          </cell>
          <cell r="J25" t="str">
            <v>HP elitebook 640 G11, core Ultra 5-125U, 16G Ram, 512Gb SSD, 14inch</v>
          </cell>
          <cell r="K25" t="str">
            <v>5CD534DZQ0</v>
          </cell>
        </row>
        <row r="26">
          <cell r="F26" t="str">
            <v>TTH-NB0023</v>
          </cell>
          <cell r="G26" t="str">
            <v>Quản lý chuỗi cung ứng/ SCM</v>
          </cell>
          <cell r="H26" t="str">
            <v>YES</v>
          </cell>
          <cell r="I26" t="str">
            <v>YES</v>
          </cell>
          <cell r="J26" t="str">
            <v>HP elitebook 640 G11, core Ultra 5-125U, 16G Ram, 512Gb SSD, 14inch</v>
          </cell>
          <cell r="K26" t="str">
            <v>5CD534DZQK</v>
          </cell>
        </row>
        <row r="27">
          <cell r="F27" t="str">
            <v>TTH-NB0024</v>
          </cell>
          <cell r="G27" t="str">
            <v>NPI</v>
          </cell>
          <cell r="H27" t="str">
            <v>YES</v>
          </cell>
          <cell r="I27" t="str">
            <v>YES</v>
          </cell>
          <cell r="J27" t="str">
            <v>HP elitebook 640 G11, core Ultra 5-125U, 16G Ram, 512Gb SSD, 14inch</v>
          </cell>
          <cell r="K27" t="str">
            <v>5CD534DZQ2</v>
          </cell>
        </row>
        <row r="28">
          <cell r="F28" t="str">
            <v>TTH-NB0025</v>
          </cell>
          <cell r="G28" t="str">
            <v>Quản lý chuỗi cung ứng/ SCM</v>
          </cell>
          <cell r="H28" t="str">
            <v>YES</v>
          </cell>
          <cell r="I28" t="str">
            <v>YES</v>
          </cell>
          <cell r="J28" t="str">
            <v>HP elitebook 640 G11, core Ultra 5-125U, 16G Ram, 512Gb SSD, 14inch</v>
          </cell>
          <cell r="K28" t="str">
            <v>5CD5183JTJ</v>
          </cell>
        </row>
        <row r="29">
          <cell r="F29" t="str">
            <v>TTH-NB0026</v>
          </cell>
          <cell r="G29" t="str">
            <v>Production</v>
          </cell>
          <cell r="H29" t="str">
            <v>YES</v>
          </cell>
          <cell r="I29" t="str">
            <v>YES</v>
          </cell>
          <cell r="J29" t="str">
            <v>HP elitebook 640 G11, core Ultra 5-125U, 16G Ram, 512Gb SSD, 14inch</v>
          </cell>
          <cell r="K29" t="str">
            <v>5CD534DZP6</v>
          </cell>
        </row>
        <row r="30">
          <cell r="F30" t="str">
            <v>TTH-NB0027</v>
          </cell>
          <cell r="G30" t="str">
            <v>Cơ sở hạ tầng/
Facility</v>
          </cell>
          <cell r="H30" t="str">
            <v>YES</v>
          </cell>
          <cell r="I30" t="str">
            <v>YES</v>
          </cell>
          <cell r="J30" t="str">
            <v>HP elitebook 640 G11, core Ultra 5-125U, 16G Ram, 512Gb SSD, 14inch</v>
          </cell>
          <cell r="K30" t="str">
            <v>5CD534DZQX</v>
          </cell>
        </row>
        <row r="31">
          <cell r="F31" t="str">
            <v>TTH-NB0028</v>
          </cell>
          <cell r="G31" t="str">
            <v>PE</v>
          </cell>
          <cell r="H31" t="str">
            <v>YES</v>
          </cell>
          <cell r="I31" t="str">
            <v>YES</v>
          </cell>
          <cell r="J31" t="str">
            <v>HP elitebook 640 G11, core Ultra 5-125U, 16G Ram, 512Gb SSD, 14inch</v>
          </cell>
          <cell r="K31" t="str">
            <v>5CD534DZQ7</v>
          </cell>
        </row>
        <row r="32">
          <cell r="F32" t="str">
            <v>TTH-NB0029</v>
          </cell>
          <cell r="G32" t="str">
            <v>Tài chính/
Finance</v>
          </cell>
          <cell r="H32" t="str">
            <v>YES</v>
          </cell>
          <cell r="I32" t="str">
            <v>YES</v>
          </cell>
          <cell r="J32" t="str">
            <v>HP elitebook 640 G11, core Ultra 5-125U, 16G Ram, 512Gb SSD, 14inch</v>
          </cell>
          <cell r="K32" t="str">
            <v>5CD5335939</v>
          </cell>
        </row>
        <row r="33">
          <cell r="F33" t="str">
            <v>TTH-NB0030</v>
          </cell>
          <cell r="G33" t="str">
            <v>Tài chính/
Finance</v>
          </cell>
          <cell r="H33" t="str">
            <v>YES</v>
          </cell>
          <cell r="I33" t="str">
            <v>YES</v>
          </cell>
          <cell r="J33" t="str">
            <v>HP elitebook 640 G11, core Ultra 5-125U, 16G Ram, 512Gb SSD, 14inch</v>
          </cell>
          <cell r="K33" t="str">
            <v>5CD534DZSP</v>
          </cell>
        </row>
        <row r="34">
          <cell r="F34" t="str">
            <v>TTH-NB0031</v>
          </cell>
          <cell r="G34" t="str">
            <v>Bộ phận ME/ ME</v>
          </cell>
          <cell r="H34" t="str">
            <v>YES</v>
          </cell>
          <cell r="I34" t="str">
            <v>YES</v>
          </cell>
          <cell r="J34" t="str">
            <v>HP elitebook 640 G11, core Ultra 5-125U, 16G Ram, 512Gb SSD, 14inch</v>
          </cell>
          <cell r="K34" t="str">
            <v>5CD534DZPZ</v>
          </cell>
        </row>
        <row r="35">
          <cell r="F35" t="str">
            <v>TTH-NB0046</v>
          </cell>
          <cell r="G35" t="str">
            <v>EHS</v>
          </cell>
          <cell r="H35" t="str">
            <v>YES</v>
          </cell>
          <cell r="I35" t="str">
            <v>YES</v>
          </cell>
          <cell r="J35" t="str">
            <v>HP elitebook 640 G11, core Ultra 5-125U, 16G Ram, 512Gb SSD, 14inch</v>
          </cell>
          <cell r="K35" t="str">
            <v>5CD534DZQ6</v>
          </cell>
        </row>
        <row r="36">
          <cell r="F36" t="str">
            <v>TTH-NB0033</v>
          </cell>
          <cell r="G36" t="str">
            <v>Chất lượng/ Quality</v>
          </cell>
          <cell r="H36" t="str">
            <v>YES</v>
          </cell>
          <cell r="I36" t="str">
            <v>YES</v>
          </cell>
          <cell r="J36" t="str">
            <v>HP elitebook 640 G11, core Ultra 5-125U, 16G Ram, 512Gb SSD, 14inch</v>
          </cell>
          <cell r="K36" t="str">
            <v>5CD534DZS6</v>
          </cell>
        </row>
        <row r="37">
          <cell r="F37" t="str">
            <v>TTH-NB0034</v>
          </cell>
          <cell r="G37" t="str">
            <v>Chất lượng/ Quality</v>
          </cell>
          <cell r="H37" t="str">
            <v>YES</v>
          </cell>
          <cell r="I37" t="str">
            <v>YES</v>
          </cell>
          <cell r="J37" t="str">
            <v>HP elitebook 640 G11, core Ultra 5-125U, 16G Ram, 512Gb SSD, 14inch</v>
          </cell>
          <cell r="K37" t="str">
            <v>5CD534DZPS</v>
          </cell>
        </row>
        <row r="38">
          <cell r="F38" t="str">
            <v>TTH-NB0035</v>
          </cell>
          <cell r="G38" t="str">
            <v>NPI</v>
          </cell>
          <cell r="H38" t="str">
            <v>YES</v>
          </cell>
          <cell r="I38" t="str">
            <v>YES</v>
          </cell>
          <cell r="J38" t="str">
            <v>HP elitebook 640 G11, core Ultra 5-125U, 16G Ram, 512Gb SSD, 14inch</v>
          </cell>
          <cell r="K38" t="str">
            <v>5CD534DZPP</v>
          </cell>
        </row>
        <row r="39">
          <cell r="F39" t="str">
            <v>TTH-NB0036</v>
          </cell>
          <cell r="G39" t="str">
            <v>Quản lý chuỗi cung ứng/ SCM</v>
          </cell>
          <cell r="H39" t="str">
            <v>YES</v>
          </cell>
          <cell r="I39" t="str">
            <v>YES</v>
          </cell>
          <cell r="J39" t="str">
            <v>HP elitebook 640 G11, core Ultra 5-125U, 16G Ram, 512Gb SSD, 14inch</v>
          </cell>
          <cell r="K39" t="str">
            <v>5CD534DZRC</v>
          </cell>
        </row>
        <row r="40">
          <cell r="F40" t="str">
            <v>TTH-NB0037</v>
          </cell>
          <cell r="G40" t="str">
            <v>Thu mua/Purchase</v>
          </cell>
          <cell r="H40" t="str">
            <v>YES</v>
          </cell>
          <cell r="I40" t="str">
            <v>YES</v>
          </cell>
          <cell r="J40" t="str">
            <v>HP elitebook 640 G11, core Ultra 5-125U, 16G Ram, 512Gb SSD, 14inch</v>
          </cell>
          <cell r="K40" t="str">
            <v>5CD5266ZTC</v>
          </cell>
        </row>
        <row r="41">
          <cell r="F41" t="str">
            <v>TTH-NB0038</v>
          </cell>
          <cell r="G41" t="str">
            <v>Hành chính nhân sự/ HR&amp;Admin</v>
          </cell>
          <cell r="H41" t="str">
            <v>YES</v>
          </cell>
          <cell r="I41" t="str">
            <v>YES</v>
          </cell>
          <cell r="J41" t="str">
            <v>HP elitebook 640 G11, core Ultra 5-125U, 16G Ram, 512Gb SSD, 14inch</v>
          </cell>
          <cell r="K41" t="str">
            <v>5CD5072DWT</v>
          </cell>
        </row>
        <row r="42">
          <cell r="F42" t="str">
            <v>TTH-NB0039</v>
          </cell>
          <cell r="G42" t="str">
            <v>Hành chính nhân sự/ HR&amp;Admin</v>
          </cell>
          <cell r="H42" t="str">
            <v>YES</v>
          </cell>
          <cell r="I42" t="str">
            <v>YES</v>
          </cell>
          <cell r="J42" t="str">
            <v>HP elitebook 640 G11, core Ultra 5-125U, 16G Ram, 512Gb SSD, 14inch</v>
          </cell>
          <cell r="K42" t="str">
            <v>5CD5266ZTL</v>
          </cell>
        </row>
        <row r="43">
          <cell r="F43" t="str">
            <v>TTH-NB0040</v>
          </cell>
          <cell r="G43" t="str">
            <v>Chất lượng/ Quality</v>
          </cell>
          <cell r="H43" t="str">
            <v>YES</v>
          </cell>
          <cell r="I43" t="str">
            <v>YES</v>
          </cell>
          <cell r="J43" t="str">
            <v>HP elitebook 640 G11, core Ultra 5-125U, 16G Ram, 512Gb SSD, 14inch</v>
          </cell>
          <cell r="K43" t="str">
            <v>5CD5183JSS</v>
          </cell>
        </row>
        <row r="44">
          <cell r="F44" t="str">
            <v>TTH-NB0041</v>
          </cell>
          <cell r="G44" t="str">
            <v>Quản lý chuỗi cung ứng/ SCM</v>
          </cell>
          <cell r="H44" t="str">
            <v>YES</v>
          </cell>
          <cell r="I44" t="str">
            <v>YES</v>
          </cell>
          <cell r="J44" t="str">
            <v>HP elitebook 640 G11, core Ultra 5-125U, 16G Ram, 512Gb SSD, 14inch</v>
          </cell>
          <cell r="K44" t="str">
            <v>5CD5183JST</v>
          </cell>
        </row>
        <row r="45">
          <cell r="F45" t="str">
            <v>TTH-NB0042</v>
          </cell>
          <cell r="G45" t="str">
            <v>Tài chính/
Finance</v>
          </cell>
          <cell r="H45" t="str">
            <v>YES</v>
          </cell>
          <cell r="I45" t="str">
            <v>YES</v>
          </cell>
          <cell r="J45" t="str">
            <v>HP elitebook 640 G11, core Ultra 5-125U, 16G Ram, 512Gb SSD, 14inch</v>
          </cell>
          <cell r="K45" t="str">
            <v>5CD5397XM6</v>
          </cell>
        </row>
        <row r="46">
          <cell r="F46" t="str">
            <v>TTH-PC0001</v>
          </cell>
          <cell r="G46" t="str">
            <v>Quản lý chuỗi cung ứng/ SCM</v>
          </cell>
          <cell r="H46" t="str">
            <v>YES</v>
          </cell>
          <cell r="I46" t="str">
            <v>YES</v>
          </cell>
          <cell r="J46" t="str">
            <v>DELL Slim i5-14400,16Gb Ram, 512 SSD</v>
          </cell>
          <cell r="K46" t="str">
            <v>31XB0B4</v>
          </cell>
        </row>
        <row r="47">
          <cell r="F47" t="str">
            <v>TTH-NB0043</v>
          </cell>
          <cell r="G47" t="str">
            <v>Cơ sở hạ tầng/
Facility</v>
          </cell>
          <cell r="H47" t="str">
            <v>YES</v>
          </cell>
          <cell r="I47" t="str">
            <v>YES</v>
          </cell>
          <cell r="J47" t="str">
            <v>HP elitebook 640 G11, core Ultra 5-125U, 16G Ram, 512Gb SSD, 14inch</v>
          </cell>
          <cell r="K47" t="str">
            <v>5CD534DZQN</v>
          </cell>
        </row>
        <row r="48">
          <cell r="F48" t="str">
            <v>TTH-NB0045</v>
          </cell>
          <cell r="G48" t="str">
            <v>Cơ sở hạ tầng/
Facility</v>
          </cell>
          <cell r="H48" t="str">
            <v>YES</v>
          </cell>
          <cell r="I48" t="str">
            <v>YES</v>
          </cell>
          <cell r="J48" t="str">
            <v>HP elitebook 640 G11, core Ultra 5-125U, 16G Ram, 512Gb SSD, 14inch</v>
          </cell>
          <cell r="K48" t="str">
            <v>5CD534DZSB</v>
          </cell>
        </row>
        <row r="49">
          <cell r="F49" t="str">
            <v>TTH-NB0047</v>
          </cell>
          <cell r="G49" t="str">
            <v>ME</v>
          </cell>
          <cell r="H49" t="str">
            <v>YES</v>
          </cell>
          <cell r="I49" t="str">
            <v>YES</v>
          </cell>
          <cell r="J49" t="str">
            <v>HP elitebook 640 G11, core Ultra 5-125U, 16G Ram, 512Gb SSD, 14inch</v>
          </cell>
          <cell r="K49" t="str">
            <v>5CD534DZRT</v>
          </cell>
        </row>
        <row r="50">
          <cell r="F50" t="str">
            <v>TTH-NB0048</v>
          </cell>
          <cell r="G50" t="str">
            <v>Thu mua/Purchase</v>
          </cell>
          <cell r="H50" t="str">
            <v>YES</v>
          </cell>
          <cell r="I50" t="str">
            <v>YES</v>
          </cell>
          <cell r="J50" t="str">
            <v>HP elitebook 640 G11, core Ultra 5-125U, 16G Ram, 512Gb SSD, 14inch</v>
          </cell>
          <cell r="K50" t="str">
            <v>5CD534DZPH</v>
          </cell>
        </row>
        <row r="51">
          <cell r="F51" t="str">
            <v>TTH-NB0049</v>
          </cell>
          <cell r="G51" t="str">
            <v>Production</v>
          </cell>
          <cell r="H51" t="str">
            <v>YES</v>
          </cell>
          <cell r="I51" t="str">
            <v>YES</v>
          </cell>
          <cell r="J51" t="str">
            <v>HP elitebook 640 G11, core Ultra 5-125U, 16G Ram, 512Gb SSD, 14inch</v>
          </cell>
          <cell r="K51" t="str">
            <v>5CD534DZP1</v>
          </cell>
        </row>
        <row r="52">
          <cell r="F52" t="str">
            <v>TTH-PC0002</v>
          </cell>
          <cell r="G52" t="str">
            <v>Production</v>
          </cell>
          <cell r="H52" t="str">
            <v>YES</v>
          </cell>
          <cell r="I52" t="str">
            <v>YES</v>
          </cell>
          <cell r="J52" t="str">
            <v>HP Pro Tower 280 G9, Core i5-13500, Ram 16Gb, SSD 512/ Monitor HP 24inch</v>
          </cell>
          <cell r="K52" t="str">
            <v>4CE521CKWP</v>
          </cell>
        </row>
        <row r="53">
          <cell r="F53" t="str">
            <v>TTH-PC0003</v>
          </cell>
          <cell r="G53" t="str">
            <v>Quản lý chuỗi cung ứng/ SCM</v>
          </cell>
          <cell r="H53" t="str">
            <v>YES</v>
          </cell>
          <cell r="I53" t="str">
            <v>YES</v>
          </cell>
          <cell r="J53" t="str">
            <v>HP Pro Tower 280 G9, Core i5-13500, Ram 16Gb, SSD 512/ Monitor HP 24inch</v>
          </cell>
          <cell r="K53" t="str">
            <v>4CE521CKWR</v>
          </cell>
        </row>
        <row r="54">
          <cell r="F54" t="str">
            <v>TTH-PC0004</v>
          </cell>
          <cell r="G54" t="str">
            <v>Quản lý chuỗi cung ứng/ SCM</v>
          </cell>
          <cell r="H54" t="str">
            <v>YES</v>
          </cell>
          <cell r="I54" t="str">
            <v>YES</v>
          </cell>
          <cell r="J54" t="str">
            <v>HP Pro Tower 280 G9, Core i5-13500, Ram 16Gb, SSD 512/ Monitor HP 24inch</v>
          </cell>
          <cell r="K54" t="str">
            <v>4CE521CKX0</v>
          </cell>
        </row>
        <row r="55">
          <cell r="F55" t="str">
            <v>TTH-PC0005</v>
          </cell>
          <cell r="G55" t="str">
            <v>Quản lý chuỗi cung ứng/ SCM</v>
          </cell>
          <cell r="H55" t="str">
            <v>YES</v>
          </cell>
          <cell r="I55" t="str">
            <v>YES</v>
          </cell>
          <cell r="J55" t="str">
            <v>HP Pro Tower 280 G9, Core i5-13500, Ram 16Gb, SSD 512/ Monitor HP 24inch</v>
          </cell>
          <cell r="K55" t="str">
            <v>4CE521CKZQ</v>
          </cell>
        </row>
        <row r="56">
          <cell r="F56" t="str">
            <v>TTH-NB0050</v>
          </cell>
          <cell r="G56" t="str">
            <v>Quản lý chuỗi cung ứng/ SCM</v>
          </cell>
          <cell r="H56" t="str">
            <v>YES</v>
          </cell>
          <cell r="I56" t="str">
            <v>YES</v>
          </cell>
          <cell r="J56" t="str">
            <v>HP elitebook 640 G11, core Ultra 5-125U, 16G Ram, 512Gb SSD, 14inch</v>
          </cell>
          <cell r="K56" t="str">
            <v>5CD534DZRY</v>
          </cell>
        </row>
        <row r="57">
          <cell r="F57" t="str">
            <v>TTH-NB0051</v>
          </cell>
          <cell r="G57" t="str">
            <v>Production</v>
          </cell>
          <cell r="H57" t="str">
            <v>YES</v>
          </cell>
          <cell r="I57" t="str">
            <v>YES</v>
          </cell>
          <cell r="J57" t="str">
            <v>HP elitebook 640 G11, core Ultra 5-125U, 16G Ram, 512Gb SSD, 14inch</v>
          </cell>
          <cell r="K57" t="str">
            <v>5CD534DZQY</v>
          </cell>
        </row>
        <row r="58">
          <cell r="F58" t="str">
            <v>TTH-NB0052</v>
          </cell>
          <cell r="G58" t="str">
            <v>Hành chính nhân sự/ HR&amp;Admin</v>
          </cell>
          <cell r="H58" t="str">
            <v>YES</v>
          </cell>
          <cell r="I58" t="str">
            <v>YES</v>
          </cell>
          <cell r="J58" t="str">
            <v>HP elitebook 640 G11, core Ultra 5-125U, 16G Ram, 512Gb SSD, 14inch</v>
          </cell>
          <cell r="K58" t="str">
            <v>5CD534DZPG</v>
          </cell>
        </row>
        <row r="59">
          <cell r="F59" t="str">
            <v>TTH-NB0053</v>
          </cell>
          <cell r="G59" t="str">
            <v>Quản lý chuỗi cung ứng/ SCM</v>
          </cell>
          <cell r="H59" t="str">
            <v>YES</v>
          </cell>
          <cell r="I59" t="str">
            <v>YES</v>
          </cell>
          <cell r="J59" t="str">
            <v>HP elitebook 640 G11, core Ultra 5-125U, 16G Ram, 512Gb SSD, 14inch</v>
          </cell>
          <cell r="K59" t="str">
            <v>5CD534DZPF</v>
          </cell>
        </row>
        <row r="60">
          <cell r="F60" t="str">
            <v>TTH-NB0054</v>
          </cell>
          <cell r="G60" t="str">
            <v>Hành chính nhân sự/ HR&amp;Admin</v>
          </cell>
          <cell r="H60" t="str">
            <v>YES</v>
          </cell>
          <cell r="I60" t="str">
            <v>YES</v>
          </cell>
          <cell r="J60" t="str">
            <v>HP elitebook 640 G11, core Ultra 5-125U, 16G Ram, 512Gb SSD, 14inch</v>
          </cell>
          <cell r="K60" t="str">
            <v>5CD534DZSL</v>
          </cell>
        </row>
        <row r="61">
          <cell r="F61" t="str">
            <v>TTH-NB0055</v>
          </cell>
          <cell r="G61" t="str">
            <v>ME</v>
          </cell>
          <cell r="H61" t="str">
            <v>YES</v>
          </cell>
          <cell r="I61" t="str">
            <v>YES</v>
          </cell>
          <cell r="J61" t="str">
            <v>HP elitebook 640 G11, core Ultra 5-125U, 16G Ram, 512Gb SSD, 14inch</v>
          </cell>
          <cell r="K61" t="str">
            <v>5CD534DZQV</v>
          </cell>
        </row>
        <row r="62">
          <cell r="F62" t="str">
            <v>TTH-NB0056</v>
          </cell>
          <cell r="G62" t="str">
            <v>Production</v>
          </cell>
          <cell r="H62" t="str">
            <v>YES</v>
          </cell>
          <cell r="I62" t="str">
            <v>YES</v>
          </cell>
          <cell r="J62" t="str">
            <v>HP elitebook 640 G11, core Ultra 5-125U, 16G Ram, 512Gb SSD, 14inch</v>
          </cell>
          <cell r="K62" t="str">
            <v>5CD534DZQ3</v>
          </cell>
        </row>
        <row r="63">
          <cell r="F63" t="str">
            <v>TTH-NB0057</v>
          </cell>
          <cell r="G63" t="str">
            <v>Hành chính nhân sự/ HR&amp;Admin</v>
          </cell>
          <cell r="H63" t="str">
            <v>YES</v>
          </cell>
          <cell r="I63" t="str">
            <v>YES</v>
          </cell>
          <cell r="J63" t="str">
            <v>HP elitebook 640 G11, core Ultra 5-125U, 16G Ram, 512Gb SSD, 14inch</v>
          </cell>
          <cell r="K63" t="str">
            <v>5CD534DZSX</v>
          </cell>
        </row>
        <row r="64">
          <cell r="F64" t="str">
            <v>TTH-NB0058</v>
          </cell>
          <cell r="G64" t="str">
            <v>ME</v>
          </cell>
          <cell r="H64" t="str">
            <v>YES</v>
          </cell>
          <cell r="I64" t="str">
            <v>YES</v>
          </cell>
          <cell r="J64" t="str">
            <v>HP elitebook 640 G11, core Ultra 5-125U, 16G Ram, 512Gb SSD, 14inch</v>
          </cell>
          <cell r="K64" t="str">
            <v>5CD534DZSH</v>
          </cell>
        </row>
        <row r="65">
          <cell r="F65" t="str">
            <v>TTH-NB0059</v>
          </cell>
          <cell r="G65" t="str">
            <v>Hành chính nhân sự/ HR&amp;Admin</v>
          </cell>
          <cell r="H65" t="str">
            <v>YES</v>
          </cell>
          <cell r="I65" t="str">
            <v>YES</v>
          </cell>
          <cell r="J65" t="str">
            <v>HP elitebook 640 G11, core Ultra 5-125U, 16G Ram, 512Gb SSD, 14inch</v>
          </cell>
          <cell r="K65" t="str">
            <v>5CD534DZPB</v>
          </cell>
        </row>
        <row r="66">
          <cell r="F66" t="str">
            <v>TTH-NB0060</v>
          </cell>
          <cell r="G66" t="str">
            <v>Chất lượng/ Quality</v>
          </cell>
          <cell r="H66" t="str">
            <v>YES</v>
          </cell>
          <cell r="I66" t="str">
            <v>YES</v>
          </cell>
          <cell r="J66" t="str">
            <v>HP elitebook 640 G11, core Ultra 5-125U, 16G Ram, 512Gb SSD, 14inch</v>
          </cell>
          <cell r="K66" t="str">
            <v>5CD534DZRP</v>
          </cell>
        </row>
        <row r="67">
          <cell r="F67" t="str">
            <v>TTH-NB0061</v>
          </cell>
          <cell r="G67" t="str">
            <v>ME</v>
          </cell>
          <cell r="H67" t="str">
            <v>YES</v>
          </cell>
          <cell r="I67" t="str">
            <v>YES</v>
          </cell>
          <cell r="J67" t="str">
            <v>HP elitebook 640 G11, core Ultra 5-125U, 16G Ram, 512Gb SSD, 14inch</v>
          </cell>
          <cell r="K67" t="str">
            <v>5CD534DZSN</v>
          </cell>
        </row>
        <row r="68">
          <cell r="F68" t="str">
            <v>TTH-NB0062</v>
          </cell>
          <cell r="H68" t="str">
            <v>YES</v>
          </cell>
          <cell r="I68" t="str">
            <v>YES</v>
          </cell>
          <cell r="J68" t="str">
            <v>HP elitebook 640 G11, core Ultra 5-125U, 16G Ram, 512Gb SSD, 14inch</v>
          </cell>
          <cell r="K68" t="str">
            <v>5CD5183KLW</v>
          </cell>
        </row>
        <row r="69">
          <cell r="F69" t="str">
            <v>TTH-NB0063</v>
          </cell>
          <cell r="H69" t="str">
            <v>YES</v>
          </cell>
          <cell r="I69" t="str">
            <v>YES</v>
          </cell>
          <cell r="J69" t="str">
            <v>HP elitebook 640 G11, core Ultra 5-125U, 16G Ram, 512Gb SSD, 14inch</v>
          </cell>
          <cell r="K69" t="str">
            <v>5CD5183KL9</v>
          </cell>
        </row>
        <row r="70">
          <cell r="F70" t="str">
            <v>TTH-NB0064</v>
          </cell>
          <cell r="H70" t="str">
            <v>YES</v>
          </cell>
          <cell r="I70" t="str">
            <v>YES</v>
          </cell>
          <cell r="J70" t="str">
            <v>HP elitebook 640 G11, core Ultra 5-125U, 16G Ram, 512Gb SSD, 14inch</v>
          </cell>
          <cell r="K70" t="str">
            <v>5CD534DZR6</v>
          </cell>
        </row>
        <row r="71">
          <cell r="F71" t="str">
            <v>TTH-NB0065</v>
          </cell>
          <cell r="H71" t="str">
            <v>YES</v>
          </cell>
          <cell r="I71" t="str">
            <v>YES</v>
          </cell>
          <cell r="J71" t="str">
            <v>HP elitebook 640 G11, core Ultra 5-125U, 16G Ram, 512Gb SSD, 14inch</v>
          </cell>
          <cell r="K71" t="str">
            <v>5CD5183KKV</v>
          </cell>
        </row>
        <row r="72">
          <cell r="F72" t="str">
            <v>TTH-NB0066</v>
          </cell>
          <cell r="G72" t="str">
            <v>NPI</v>
          </cell>
          <cell r="H72" t="str">
            <v>YES</v>
          </cell>
          <cell r="I72" t="str">
            <v>YES</v>
          </cell>
          <cell r="J72" t="str">
            <v>HP elitebook 640 G11, core Ultra 5-125U, 16G Ram, 512Gb SSD, 14inch</v>
          </cell>
          <cell r="K72" t="str">
            <v>5CD5183KL8</v>
          </cell>
        </row>
        <row r="73">
          <cell r="F73" t="str">
            <v>TTH-NB0067</v>
          </cell>
          <cell r="H73" t="str">
            <v>YES</v>
          </cell>
          <cell r="I73" t="str">
            <v>YES</v>
          </cell>
          <cell r="J73" t="str">
            <v>HP elitebook 640 G11, core Ultra 5-125U, 16G Ram, 512Gb SSD, 14inch</v>
          </cell>
          <cell r="K73" t="str">
            <v>5CD534DZRR</v>
          </cell>
        </row>
      </sheetData>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ser List"/>
      <sheetName val="PC Infomation"/>
      <sheetName val="Model Info"/>
    </sheetNames>
    <sheetDataSet>
      <sheetData sheetId="0">
        <row r="4">
          <cell r="C4" t="str">
            <v>CBS0015</v>
          </cell>
          <cell r="D4" t="str">
            <v>NGUYỄN CÔNG SỎI</v>
          </cell>
          <cell r="E4" t="str">
            <v>Jack.soi@amphenol-cbs.com</v>
          </cell>
          <cell r="F4" t="str">
            <v>TTH-NB0001</v>
          </cell>
          <cell r="G4" t="str">
            <v>Cơ sở hạ tầng/
Facility</v>
          </cell>
          <cell r="H4" t="str">
            <v>YES</v>
          </cell>
          <cell r="I4" t="str">
            <v>YES</v>
          </cell>
          <cell r="J4" t="str">
            <v>HP elitebook 640 G11, core Ultra 5-125U, 16G Ram, 512Gb SSD, 14inch</v>
          </cell>
          <cell r="K4" t="str">
            <v>5CD534DZP5</v>
          </cell>
        </row>
        <row r="5">
          <cell r="C5" t="str">
            <v>CBS0010</v>
          </cell>
          <cell r="D5" t="str">
            <v>VŨ XUÂN NAM</v>
          </cell>
          <cell r="E5" t="str">
            <v>Max.nam@amphenol-cbs.com</v>
          </cell>
          <cell r="F5" t="str">
            <v>TTH-NB0002</v>
          </cell>
          <cell r="G5" t="str">
            <v>Quản lý chuỗi cung ứng/ SCM</v>
          </cell>
          <cell r="H5" t="str">
            <v>YES</v>
          </cell>
          <cell r="I5" t="str">
            <v>YES</v>
          </cell>
          <cell r="J5" t="str">
            <v>HP elitebook 640 G11, core Ultra 5-125U, 16G Ram, 512Gb SSD, 14inch</v>
          </cell>
          <cell r="K5" t="str">
            <v>5CD5183JTG</v>
          </cell>
        </row>
        <row r="6">
          <cell r="C6" t="str">
            <v>CBS0074</v>
          </cell>
          <cell r="D6" t="str">
            <v>Lưu Thị Nguyên</v>
          </cell>
          <cell r="E6" t="str">
            <v>Ella.Nguyen@amphenol-cbs.com</v>
          </cell>
          <cell r="F6" t="str">
            <v>TTH-NB0003</v>
          </cell>
          <cell r="G6" t="str">
            <v>Production</v>
          </cell>
          <cell r="H6" t="str">
            <v>YES</v>
          </cell>
          <cell r="I6" t="str">
            <v>YES</v>
          </cell>
          <cell r="J6" t="str">
            <v>HP elitebook 640 G11, core Ultra 5-125U, 16G Ram, 512Gb SSD, 14inch</v>
          </cell>
          <cell r="K6" t="str">
            <v>5CD5183JQW</v>
          </cell>
        </row>
        <row r="7">
          <cell r="C7" t="str">
            <v>CBS0028</v>
          </cell>
          <cell r="D7" t="str">
            <v>Hà Thị Hằng</v>
          </cell>
          <cell r="E7" t="str">
            <v>hana.hang@amphenol-cbs.com</v>
          </cell>
          <cell r="F7" t="str">
            <v>TTH-NB0004</v>
          </cell>
          <cell r="G7" t="str">
            <v>Bộ phận ME/ ME</v>
          </cell>
          <cell r="H7" t="str">
            <v>YES</v>
          </cell>
          <cell r="I7" t="str">
            <v>YES</v>
          </cell>
          <cell r="J7" t="str">
            <v>HP elitebook 640 G11, core Ultra 5-125U, 16G Ram, 512Gb SSD, 14inch</v>
          </cell>
          <cell r="K7" t="str">
            <v>5CD534DZNS</v>
          </cell>
        </row>
        <row r="8">
          <cell r="C8" t="str">
            <v>CBS0018</v>
          </cell>
          <cell r="D8" t="str">
            <v>NGUYỄN THỊ THẮM</v>
          </cell>
          <cell r="E8" t="str">
            <v>Mina.tham@amphenol-cbs.com</v>
          </cell>
          <cell r="F8" t="str">
            <v>TTH-NB0005</v>
          </cell>
          <cell r="G8" t="str">
            <v>Thu mua/Purchase</v>
          </cell>
          <cell r="H8" t="str">
            <v>YES</v>
          </cell>
          <cell r="I8" t="str">
            <v>YES</v>
          </cell>
          <cell r="J8" t="str">
            <v>HP elitebook 640 G11, core Ultra 5-125U, 16G Ram, 512Gb SSD, 14inch</v>
          </cell>
          <cell r="K8" t="str">
            <v>5CD534DZR4</v>
          </cell>
        </row>
        <row r="9">
          <cell r="C9" t="str">
            <v>CBS0062</v>
          </cell>
          <cell r="D9" t="str">
            <v>Nguyễn Ngọc Ánh</v>
          </cell>
          <cell r="E9" t="str">
            <v>Rina.Anh@amphenol-cbs.com</v>
          </cell>
          <cell r="F9" t="str">
            <v>TTH-NB0006</v>
          </cell>
          <cell r="G9" t="str">
            <v>Thu mua/Purchase</v>
          </cell>
          <cell r="H9" t="str">
            <v>YES</v>
          </cell>
          <cell r="I9" t="str">
            <v>YES</v>
          </cell>
          <cell r="J9" t="str">
            <v>HP elitebook 640 G11, core Ultra 5-125U, 16G Ram, 512Gb SSD, 14inch</v>
          </cell>
          <cell r="K9" t="str">
            <v>5CD534DZR8</v>
          </cell>
        </row>
        <row r="10">
          <cell r="C10" t="str">
            <v>CBS0063</v>
          </cell>
          <cell r="D10" t="str">
            <v>Hoàng Thị Quỳnh</v>
          </cell>
          <cell r="E10" t="str">
            <v>Juni.Quynh@amphenol-cbs.com</v>
          </cell>
          <cell r="F10" t="str">
            <v>TTH-NB0008</v>
          </cell>
          <cell r="G10" t="str">
            <v>Hành chính nhân sự/ HR&amp;Admin</v>
          </cell>
          <cell r="H10" t="str">
            <v>YES</v>
          </cell>
          <cell r="I10" t="str">
            <v>YES</v>
          </cell>
          <cell r="J10" t="str">
            <v>HP elitebook 640 G11, core Ultra 5-125U, 16G Ram, 512Gb SSD, 14inch</v>
          </cell>
          <cell r="K10" t="str">
            <v>5CD534DZS4</v>
          </cell>
        </row>
        <row r="11">
          <cell r="C11" t="str">
            <v>CBS0068</v>
          </cell>
          <cell r="D11" t="str">
            <v>Lê Thị Phương Chi</v>
          </cell>
          <cell r="E11" t="str">
            <v>May.Chi@amphenol-cbs.com</v>
          </cell>
          <cell r="F11" t="str">
            <v>TTH-NB0009</v>
          </cell>
          <cell r="G11" t="str">
            <v>Chất lượng/ Quality</v>
          </cell>
          <cell r="H11" t="str">
            <v>YES</v>
          </cell>
          <cell r="I11" t="str">
            <v>YES</v>
          </cell>
          <cell r="J11" t="str">
            <v>HP elitebook 640 G11, core Ultra 5-125U, 16G Ram, 512Gb SSD, 14inch</v>
          </cell>
          <cell r="K11" t="str">
            <v>5CD534DZNX</v>
          </cell>
        </row>
        <row r="12">
          <cell r="C12" t="str">
            <v>CBS0020</v>
          </cell>
          <cell r="D12" t="str">
            <v>ĐỖ THU HẢI</v>
          </cell>
          <cell r="E12" t="str">
            <v>Susan.hai@amphenol-cbs.com</v>
          </cell>
          <cell r="F12" t="str">
            <v>TTH-NB0010</v>
          </cell>
          <cell r="G12" t="str">
            <v>Hành chính nhân sự/ HR&amp;Admin</v>
          </cell>
          <cell r="H12" t="str">
            <v>YES</v>
          </cell>
          <cell r="I12" t="str">
            <v>YES</v>
          </cell>
          <cell r="J12" t="str">
            <v>HP elitebook 640 G11, core Ultra 5-125U, 16G Ram, 512Gb SSD, 14inch</v>
          </cell>
          <cell r="K12" t="str">
            <v>5CD534DVZR8</v>
          </cell>
        </row>
        <row r="13">
          <cell r="C13" t="str">
            <v>CBS0016</v>
          </cell>
          <cell r="D13" t="str">
            <v>ĐẶNG NHẬT MINH</v>
          </cell>
          <cell r="E13" t="str">
            <v>Lucas.minh@amphenol-cbs.com</v>
          </cell>
          <cell r="F13" t="str">
            <v>TTH-NB0011</v>
          </cell>
          <cell r="G13" t="str">
            <v>Bộ phận ME/ ME</v>
          </cell>
          <cell r="H13" t="str">
            <v>YES</v>
          </cell>
          <cell r="I13" t="str">
            <v>YES</v>
          </cell>
          <cell r="J13" t="str">
            <v>HP elitebook 640 G11, core Ultra 5-125U, 16G Ram, 512Gb SSD, 14inch</v>
          </cell>
          <cell r="K13" t="str">
            <v>5CD534DZQ9</v>
          </cell>
        </row>
        <row r="14">
          <cell r="C14" t="str">
            <v>CBS0014</v>
          </cell>
          <cell r="D14" t="str">
            <v>NGUYỄN XUÂN DƯƠNG</v>
          </cell>
          <cell r="E14" t="str">
            <v>David.duong@amphenol-cbs.com</v>
          </cell>
          <cell r="F14" t="str">
            <v>TTH-NB0012</v>
          </cell>
          <cell r="G14" t="str">
            <v>Production</v>
          </cell>
          <cell r="H14" t="str">
            <v>YES</v>
          </cell>
          <cell r="I14" t="str">
            <v>YES</v>
          </cell>
          <cell r="J14" t="str">
            <v>HP elitebook 640 G11, core Ultra 5-125U, 16G Ram, 512Gb SSD, 14inch</v>
          </cell>
          <cell r="K14" t="str">
            <v>5CD5183JSP</v>
          </cell>
        </row>
        <row r="15">
          <cell r="C15" t="str">
            <v>CBS0021</v>
          </cell>
          <cell r="D15" t="str">
            <v>Nguyễn Nam Khánh</v>
          </cell>
          <cell r="E15" t="str">
            <v>Mayan.khanh@amphenol-cbs.com</v>
          </cell>
          <cell r="F15" t="str">
            <v>TTH-NB0007</v>
          </cell>
          <cell r="G15" t="str">
            <v>Quản lý chuỗi cung ứng/ SCM</v>
          </cell>
          <cell r="H15" t="str">
            <v>YES</v>
          </cell>
          <cell r="I15" t="str">
            <v>YES</v>
          </cell>
          <cell r="J15" t="str">
            <v>HP elitebook 640 G11, core Ultra 5-125U, 16G Ram, 512Gb SSD, 14inch</v>
          </cell>
          <cell r="K15" t="str">
            <v>5CD534DZPR</v>
          </cell>
        </row>
        <row r="16">
          <cell r="C16" t="str">
            <v>P0005</v>
          </cell>
          <cell r="D16" t="str">
            <v>Trịnh Đức Hải</v>
          </cell>
          <cell r="E16" t="e">
            <v>#N/A</v>
          </cell>
          <cell r="F16" t="str">
            <v>TTH-NB0013</v>
          </cell>
          <cell r="G16" t="str">
            <v>Cơ sở hạ tầng/
Facility</v>
          </cell>
          <cell r="H16" t="str">
            <v>YES</v>
          </cell>
          <cell r="I16" t="str">
            <v>YES</v>
          </cell>
          <cell r="J16" t="str">
            <v>HP elitebook 640 G11, core Ultra 5-125U, 16G Ram, 512Gb SSD, 14inch</v>
          </cell>
          <cell r="K16" t="str">
            <v>5CD5183JS4</v>
          </cell>
        </row>
        <row r="17">
          <cell r="C17" t="str">
            <v>CBS0058</v>
          </cell>
          <cell r="D17" t="str">
            <v>Lê Văn Thực</v>
          </cell>
          <cell r="E17" t="str">
            <v>Dennis.Thuc@amphenol-cbs.com</v>
          </cell>
          <cell r="F17" t="str">
            <v>TTH-NB0014</v>
          </cell>
          <cell r="G17" t="str">
            <v>Cơ sở hạ tầng/
Facility</v>
          </cell>
          <cell r="H17" t="str">
            <v>YES</v>
          </cell>
          <cell r="I17" t="str">
            <v>YES</v>
          </cell>
          <cell r="J17" t="str">
            <v>HP elitebook 640 G11, core Ultra 5-125U, 16G Ram, 512Gb SSD, 14inch</v>
          </cell>
          <cell r="K17" t="str">
            <v>5CD534DZPN</v>
          </cell>
        </row>
        <row r="18">
          <cell r="C18" t="str">
            <v>CBS0012</v>
          </cell>
          <cell r="D18" t="str">
            <v>Amy, Le</v>
          </cell>
          <cell r="E18" t="str">
            <v>Amy.nhung@amphenol-cbs.com</v>
          </cell>
          <cell r="F18" t="str">
            <v>TTH-NB0015</v>
          </cell>
          <cell r="G18" t="str">
            <v>Hành chính nhân sự/ HR&amp;Admin</v>
          </cell>
          <cell r="H18" t="str">
            <v>YES</v>
          </cell>
          <cell r="I18" t="str">
            <v>YES</v>
          </cell>
          <cell r="J18" t="str">
            <v>HP elitebook 640 G11, core Ultra 5-125U, 16G Ram, 512Gb SSD, 14inch</v>
          </cell>
          <cell r="K18" t="str">
            <v>5CD5183JT6</v>
          </cell>
        </row>
        <row r="19">
          <cell r="C19" t="str">
            <v>CBS0026</v>
          </cell>
          <cell r="D19" t="str">
            <v>Nguyễn Anh Tuấn</v>
          </cell>
          <cell r="E19" t="str">
            <v>atus.tuan@amphenol-cbs.com</v>
          </cell>
          <cell r="F19" t="str">
            <v>TTH-NB0016</v>
          </cell>
          <cell r="G19" t="str">
            <v>Bộ phận ME/ ME</v>
          </cell>
          <cell r="H19" t="str">
            <v>YES</v>
          </cell>
          <cell r="I19" t="str">
            <v>YES</v>
          </cell>
          <cell r="J19" t="str">
            <v>HP elitebook 640 G11, core Ultra 5-125U, 16G Ram, 512Gb SSD, 14inch</v>
          </cell>
          <cell r="K19" t="str">
            <v>5CD534DZNR</v>
          </cell>
        </row>
        <row r="20">
          <cell r="C20" t="str">
            <v>CBS0027</v>
          </cell>
          <cell r="D20" t="str">
            <v>Nguyễn Ngọc Loan</v>
          </cell>
          <cell r="E20" t="str">
            <v>jane.loan@amphenol-cbs.com</v>
          </cell>
          <cell r="F20" t="str">
            <v>TTH-NB0017</v>
          </cell>
          <cell r="G20" t="str">
            <v>Trưởng phòng An toàn, Sức khỏe, Môi trường/ EHS Manager</v>
          </cell>
          <cell r="H20" t="str">
            <v>YES</v>
          </cell>
          <cell r="I20" t="str">
            <v>YES</v>
          </cell>
          <cell r="J20" t="str">
            <v>HP elitebook 640 G11, core Ultra 5-125U, 16G Ram, 512Gb SSD, 14inch</v>
          </cell>
          <cell r="K20" t="str">
            <v>5CD534DZPD</v>
          </cell>
        </row>
        <row r="21">
          <cell r="C21" t="str">
            <v>CBS0017</v>
          </cell>
          <cell r="D21" t="str">
            <v>TRẦN VĂN HƯNG</v>
          </cell>
          <cell r="E21" t="str">
            <v>Robert.hung@amphenol-cbs.com</v>
          </cell>
          <cell r="F21" t="str">
            <v>TTH-NB0018</v>
          </cell>
          <cell r="G21" t="str">
            <v>Chất lượng/ Quality</v>
          </cell>
          <cell r="H21" t="str">
            <v>YES</v>
          </cell>
          <cell r="I21" t="str">
            <v>YES</v>
          </cell>
          <cell r="J21" t="str">
            <v>HP elitebook 640 G11, core Ultra 5-125U, 16G Ram, 512Gb SSD, 14inch</v>
          </cell>
          <cell r="K21" t="str">
            <v>5CD534DZQH</v>
          </cell>
        </row>
        <row r="22">
          <cell r="C22" t="str">
            <v>CBS0052</v>
          </cell>
          <cell r="D22" t="str">
            <v xml:space="preserve">Nguyễn Thị Giang </v>
          </cell>
          <cell r="E22" t="str">
            <v>grace.giang@amphennol-cbs.com</v>
          </cell>
          <cell r="F22" t="str">
            <v>TTH-NB0019</v>
          </cell>
          <cell r="G22" t="str">
            <v>Hành chính nhân sự/ HR&amp;Admin</v>
          </cell>
          <cell r="H22" t="str">
            <v>YES</v>
          </cell>
          <cell r="I22" t="str">
            <v>YES</v>
          </cell>
          <cell r="J22" t="str">
            <v>HP elitebook 640 G11, core Ultra 5-125U, 16G Ram, 512Gb SSD, 14inch</v>
          </cell>
          <cell r="K22" t="str">
            <v>5CD534DZNP</v>
          </cell>
        </row>
        <row r="23">
          <cell r="C23" t="str">
            <v>CBS0060</v>
          </cell>
          <cell r="D23" t="str">
            <v>Nguyễn Thị Phương</v>
          </cell>
          <cell r="E23" t="str">
            <v>Ginny.Phuong@amphenol-cbs.com</v>
          </cell>
          <cell r="F23" t="str">
            <v>TTH-NB0020</v>
          </cell>
          <cell r="G23" t="str">
            <v>Hành chính nhân sự/ HR&amp;Admin</v>
          </cell>
          <cell r="H23" t="str">
            <v>YES</v>
          </cell>
          <cell r="I23" t="str">
            <v>YES</v>
          </cell>
          <cell r="J23" t="str">
            <v>HP elitebook 640 G11, core Ultra 5-125U, 16G Ram, 512Gb SSD, 14inch</v>
          </cell>
          <cell r="K23" t="str">
            <v>5CD534DZSC</v>
          </cell>
        </row>
        <row r="24">
          <cell r="C24" t="str">
            <v>CBS0032</v>
          </cell>
          <cell r="D24" t="str">
            <v>Lê Thị Thúy Ngân</v>
          </cell>
          <cell r="E24" t="str">
            <v>Jennifer.ngan@amphenol-cbs.com</v>
          </cell>
          <cell r="F24" t="str">
            <v>TTH-NB0021</v>
          </cell>
          <cell r="G24" t="str">
            <v>Tài chính/
Finance</v>
          </cell>
          <cell r="H24" t="str">
            <v>YES</v>
          </cell>
          <cell r="I24" t="str">
            <v>YES</v>
          </cell>
          <cell r="J24" t="str">
            <v>HP elitebook 640 G11, core Ultra 5-125U, 16G Ram, 512Gb SSD, 14inch</v>
          </cell>
          <cell r="K24" t="str">
            <v>5CD534DZQD</v>
          </cell>
        </row>
        <row r="25">
          <cell r="C25" t="str">
            <v>CBS0029</v>
          </cell>
          <cell r="D25" t="str">
            <v>Tống Thị Hoan</v>
          </cell>
          <cell r="E25" t="str">
            <v>judy.hoan@amphenol-cbs.com</v>
          </cell>
          <cell r="F25" t="str">
            <v>TTH-NB0022</v>
          </cell>
          <cell r="G25" t="str">
            <v>Bộ phận ME/ ME</v>
          </cell>
          <cell r="H25" t="str">
            <v>YES</v>
          </cell>
          <cell r="I25" t="str">
            <v>YES</v>
          </cell>
          <cell r="J25" t="str">
            <v>HP elitebook 640 G11, core Ultra 5-125U, 16G Ram, 512Gb SSD, 14inch</v>
          </cell>
          <cell r="K25" t="str">
            <v>5CD534DZQ0</v>
          </cell>
        </row>
        <row r="26">
          <cell r="C26" t="str">
            <v>CBS0041</v>
          </cell>
          <cell r="D26" t="str">
            <v>Đỗ Thị Thanh Tuấn</v>
          </cell>
          <cell r="E26" t="str">
            <v>lucy.tuan@amphenol-cbs.com</v>
          </cell>
          <cell r="F26" t="str">
            <v>TTH-NB0023</v>
          </cell>
          <cell r="G26" t="str">
            <v>Quản lý chuỗi cung ứng/ SCM</v>
          </cell>
          <cell r="H26" t="str">
            <v>YES</v>
          </cell>
          <cell r="I26" t="str">
            <v>YES</v>
          </cell>
          <cell r="J26" t="str">
            <v>HP elitebook 640 G11, core Ultra 5-125U, 16G Ram, 512Gb SSD, 14inch</v>
          </cell>
          <cell r="K26" t="str">
            <v>5CD534DZQK</v>
          </cell>
        </row>
        <row r="27">
          <cell r="C27" t="str">
            <v>CBS0034</v>
          </cell>
          <cell r="D27" t="str">
            <v>Phạm Viết Cương</v>
          </cell>
          <cell r="E27" t="str">
            <v>henry.cuong@amphenol-cbs.com</v>
          </cell>
          <cell r="F27" t="str">
            <v>TTH-NB0024</v>
          </cell>
          <cell r="G27" t="str">
            <v>NPI</v>
          </cell>
          <cell r="H27" t="str">
            <v>YES</v>
          </cell>
          <cell r="I27" t="str">
            <v>YES</v>
          </cell>
          <cell r="J27" t="str">
            <v>HP elitebook 640 G11, core Ultra 5-125U, 16G Ram, 512Gb SSD, 14inch</v>
          </cell>
          <cell r="K27" t="str">
            <v>5CD534DZQ2</v>
          </cell>
        </row>
        <row r="28">
          <cell r="C28" t="str">
            <v>CBS0007</v>
          </cell>
          <cell r="D28" t="str">
            <v>Miranda Thắm</v>
          </cell>
          <cell r="E28" t="str">
            <v>Miranda.tham@amphenol-cbs.com</v>
          </cell>
          <cell r="F28" t="str">
            <v>TTH-NB0025</v>
          </cell>
          <cell r="G28" t="str">
            <v>Quản lý chuỗi cung ứng/ SCM</v>
          </cell>
          <cell r="H28" t="str">
            <v>YES</v>
          </cell>
          <cell r="I28" t="str">
            <v>YES</v>
          </cell>
          <cell r="J28" t="str">
            <v>HP elitebook 640 G11, core Ultra 5-125U, 16G Ram, 512Gb SSD, 14inch</v>
          </cell>
          <cell r="K28" t="str">
            <v>5CD5183JTJ</v>
          </cell>
        </row>
        <row r="29">
          <cell r="C29" t="str">
            <v>CBS0022</v>
          </cell>
          <cell r="D29" t="str">
            <v>NGUYỄN THANH CHIẾN</v>
          </cell>
          <cell r="E29" t="str">
            <v>Victor.chien@amphenol-cbs.com</v>
          </cell>
          <cell r="F29" t="str">
            <v>TTH-NB0026</v>
          </cell>
          <cell r="G29" t="str">
            <v>Production</v>
          </cell>
          <cell r="H29" t="str">
            <v>YES</v>
          </cell>
          <cell r="I29" t="str">
            <v>YES</v>
          </cell>
          <cell r="J29" t="str">
            <v>HP elitebook 640 G11, core Ultra 5-125U, 16G Ram, 512Gb SSD, 14inch</v>
          </cell>
          <cell r="K29" t="str">
            <v>5CD534DZP6</v>
          </cell>
        </row>
        <row r="30">
          <cell r="C30" t="str">
            <v>CBS0037</v>
          </cell>
          <cell r="D30" t="str">
            <v>Nguyễn Như Phong</v>
          </cell>
          <cell r="E30" t="str">
            <v>levi.phong@amphenol-cbs.com</v>
          </cell>
          <cell r="F30" t="str">
            <v>TTH-NB0027</v>
          </cell>
          <cell r="G30" t="str">
            <v>Cơ sở hạ tầng/
Facility</v>
          </cell>
          <cell r="H30" t="str">
            <v>YES</v>
          </cell>
          <cell r="I30" t="str">
            <v>YES</v>
          </cell>
          <cell r="J30" t="str">
            <v>HP elitebook 640 G11, core Ultra 5-125U, 16G Ram, 512Gb SSD, 14inch</v>
          </cell>
          <cell r="K30" t="str">
            <v>5CD534DZQX</v>
          </cell>
        </row>
        <row r="31">
          <cell r="C31" t="str">
            <v>CBS0036</v>
          </cell>
          <cell r="D31" t="str">
            <v>Nguyễn Văn Quân</v>
          </cell>
          <cell r="E31" t="str">
            <v>john.quan@amphenol-cbs.com</v>
          </cell>
          <cell r="F31" t="str">
            <v>TTH-NB0028</v>
          </cell>
          <cell r="G31" t="str">
            <v>PE</v>
          </cell>
          <cell r="H31" t="str">
            <v>YES</v>
          </cell>
          <cell r="I31" t="str">
            <v>YES</v>
          </cell>
          <cell r="J31" t="str">
            <v>HP elitebook 640 G11, core Ultra 5-125U, 16G Ram, 512Gb SSD, 14inch</v>
          </cell>
          <cell r="K31" t="str">
            <v>5CD534DZQ7</v>
          </cell>
        </row>
        <row r="32">
          <cell r="C32" t="str">
            <v>CBS0005</v>
          </cell>
          <cell r="D32" t="str">
            <v>Nguyễn Thị Thu Hiền</v>
          </cell>
          <cell r="E32" t="str">
            <v>Tracy.hien@amphenol-cbs.com</v>
          </cell>
          <cell r="F32" t="str">
            <v>TTH-NB0029</v>
          </cell>
          <cell r="G32" t="str">
            <v>Tài chính/
Finance</v>
          </cell>
          <cell r="H32" t="str">
            <v>YES</v>
          </cell>
          <cell r="I32" t="str">
            <v>YES</v>
          </cell>
          <cell r="J32" t="str">
            <v>HP elitebook 640 G11, core Ultra 5-125U, 16G Ram, 512Gb SSD, 14inch</v>
          </cell>
          <cell r="K32" t="str">
            <v>5CD5335939</v>
          </cell>
        </row>
        <row r="33">
          <cell r="C33" t="str">
            <v>CBS0038</v>
          </cell>
          <cell r="D33" t="str">
            <v>Trần Thị Minh Anh</v>
          </cell>
          <cell r="E33" t="str">
            <v>charlotte.anh@amphenol-cbs.com</v>
          </cell>
          <cell r="F33" t="str">
            <v>TTH-NB0030</v>
          </cell>
          <cell r="G33" t="str">
            <v>Tài chính/
Finance</v>
          </cell>
          <cell r="H33" t="str">
            <v>YES</v>
          </cell>
          <cell r="I33" t="str">
            <v>YES</v>
          </cell>
          <cell r="J33" t="str">
            <v>HP elitebook 640 G11, core Ultra 5-125U, 16G Ram, 512Gb SSD, 14inch</v>
          </cell>
          <cell r="K33" t="str">
            <v>5CD534DZSP</v>
          </cell>
        </row>
        <row r="34">
          <cell r="C34" t="str">
            <v>CBS0039</v>
          </cell>
          <cell r="D34" t="str">
            <v>Vũ Đức Bắc</v>
          </cell>
          <cell r="E34" t="str">
            <v>bac.vu@amphenol-cbs.com</v>
          </cell>
          <cell r="F34" t="str">
            <v>TTH-NB0031</v>
          </cell>
          <cell r="G34" t="str">
            <v>Bộ phận ME/ ME</v>
          </cell>
          <cell r="H34" t="str">
            <v>YES</v>
          </cell>
          <cell r="I34" t="str">
            <v>YES</v>
          </cell>
          <cell r="J34" t="str">
            <v>HP elitebook 640 G11, core Ultra 5-125U, 16G Ram, 512Gb SSD, 14inch</v>
          </cell>
          <cell r="K34" t="str">
            <v>5CD534DZPZ</v>
          </cell>
        </row>
        <row r="35">
          <cell r="C35" t="str">
            <v>CBS0042</v>
          </cell>
          <cell r="D35" t="str">
            <v>Dương Quốc Tân</v>
          </cell>
          <cell r="E35" t="str">
            <v>neo.tan@amphenol-cbs.com</v>
          </cell>
          <cell r="F35" t="str">
            <v>TTH-NB0046</v>
          </cell>
          <cell r="G35" t="str">
            <v>EHS</v>
          </cell>
          <cell r="H35" t="str">
            <v>YES</v>
          </cell>
          <cell r="I35" t="str">
            <v>YES</v>
          </cell>
          <cell r="J35" t="str">
            <v>HP elitebook 640 G11, core Ultra 5-125U, 16G Ram, 512Gb SSD, 14inch</v>
          </cell>
          <cell r="K35" t="str">
            <v>5CD534DZQ6</v>
          </cell>
        </row>
        <row r="36">
          <cell r="C36" t="str">
            <v>CBS0043</v>
          </cell>
          <cell r="D36" t="str">
            <v>Dương Tuấn Hải</v>
          </cell>
          <cell r="E36" t="str">
            <v>Sea.Hai@amphenol-cbs.com</v>
          </cell>
          <cell r="F36" t="str">
            <v>TTH-NB0033</v>
          </cell>
          <cell r="G36" t="str">
            <v>Chất lượng/ Quality</v>
          </cell>
          <cell r="H36" t="str">
            <v>YES</v>
          </cell>
          <cell r="I36" t="str">
            <v>YES</v>
          </cell>
          <cell r="J36" t="str">
            <v>HP elitebook 640 G11, core Ultra 5-125U, 16G Ram, 512Gb SSD, 14inch</v>
          </cell>
          <cell r="K36" t="str">
            <v>5CD534DZS6</v>
          </cell>
        </row>
        <row r="37">
          <cell r="C37" t="str">
            <v>CBS0040</v>
          </cell>
          <cell r="D37" t="str">
            <v>Hà Duy Hưng</v>
          </cell>
          <cell r="E37" t="str">
            <v>Harry.hung@amphenol-cbs.com</v>
          </cell>
          <cell r="F37" t="str">
            <v>TTH-NB0034</v>
          </cell>
          <cell r="G37" t="str">
            <v>Chất lượng/ Quality</v>
          </cell>
          <cell r="H37" t="str">
            <v>YES</v>
          </cell>
          <cell r="I37" t="str">
            <v>YES</v>
          </cell>
          <cell r="J37" t="str">
            <v>HP elitebook 640 G11, core Ultra 5-125U, 16G Ram, 512Gb SSD, 14inch</v>
          </cell>
          <cell r="K37" t="str">
            <v>5CD534DZPS</v>
          </cell>
        </row>
        <row r="38">
          <cell r="C38" t="str">
            <v>CBS0044</v>
          </cell>
          <cell r="D38" t="str">
            <v>Nguyễn Thị Phượng</v>
          </cell>
          <cell r="E38" t="str">
            <v>phoenix.phuong@amphenol-cbs.com</v>
          </cell>
          <cell r="F38" t="str">
            <v>TTH-NB0035</v>
          </cell>
          <cell r="G38" t="str">
            <v>NPI</v>
          </cell>
          <cell r="H38" t="str">
            <v>YES</v>
          </cell>
          <cell r="I38" t="str">
            <v>YES</v>
          </cell>
          <cell r="J38" t="str">
            <v>HP elitebook 640 G11, core Ultra 5-125U, 16G Ram, 512Gb SSD, 14inch</v>
          </cell>
          <cell r="K38" t="str">
            <v>5CD534DZPP</v>
          </cell>
        </row>
        <row r="39">
          <cell r="C39" t="str">
            <v>CBS0048</v>
          </cell>
          <cell r="D39" t="str">
            <v>Nguyễn Văn Diên</v>
          </cell>
          <cell r="E39" t="str">
            <v>Danny.dien@amphenol-cbs.com</v>
          </cell>
          <cell r="F39" t="str">
            <v>TTH-NB0036</v>
          </cell>
          <cell r="G39" t="str">
            <v>Quản lý chuỗi cung ứng/ SCM</v>
          </cell>
          <cell r="H39" t="str">
            <v>YES</v>
          </cell>
          <cell r="I39" t="str">
            <v>YES</v>
          </cell>
          <cell r="J39" t="str">
            <v>HP elitebook 640 G11, core Ultra 5-125U, 16G Ram, 512Gb SSD, 14inch</v>
          </cell>
          <cell r="K39" t="str">
            <v>5CD534DZRC</v>
          </cell>
        </row>
        <row r="40">
          <cell r="C40" t="str">
            <v>CBS0045</v>
          </cell>
          <cell r="D40" t="str">
            <v>TRẦN THỊ VIỆT</v>
          </cell>
          <cell r="E40" t="str">
            <v>cathy.viet@amphenol-cbs.com</v>
          </cell>
          <cell r="F40" t="str">
            <v>TTH-NB0037</v>
          </cell>
          <cell r="G40" t="str">
            <v>Thu mua/Purchase</v>
          </cell>
          <cell r="H40" t="str">
            <v>YES</v>
          </cell>
          <cell r="I40" t="str">
            <v>YES</v>
          </cell>
          <cell r="J40" t="str">
            <v>HP elitebook 640 G11, core Ultra 5-125U, 16G Ram, 512Gb SSD, 14inch</v>
          </cell>
          <cell r="K40" t="str">
            <v>5CD5266ZTC</v>
          </cell>
        </row>
        <row r="41">
          <cell r="E41" t="e">
            <v>#N/A</v>
          </cell>
          <cell r="F41" t="str">
            <v>TTH-NB0038</v>
          </cell>
          <cell r="G41" t="str">
            <v>Hành chính nhân sự/ HR&amp;Admin</v>
          </cell>
          <cell r="H41" t="str">
            <v>YES</v>
          </cell>
          <cell r="I41" t="str">
            <v>YES</v>
          </cell>
          <cell r="J41" t="str">
            <v>HP elitebook 640 G11, core Ultra 5-125U, 16G Ram, 512Gb SSD, 14inch</v>
          </cell>
          <cell r="K41" t="str">
            <v>5CD5072DWT</v>
          </cell>
        </row>
        <row r="42">
          <cell r="C42" t="str">
            <v>CBS0002</v>
          </cell>
          <cell r="D42" t="str">
            <v>Nguyễn Thị Minh Phương</v>
          </cell>
          <cell r="E42" t="str">
            <v>Serena.phuong@amphenol-cbs.com</v>
          </cell>
          <cell r="F42" t="str">
            <v>TTH-NB0039</v>
          </cell>
          <cell r="G42" t="str">
            <v>Hành chính nhân sự/ HR&amp;Admin</v>
          </cell>
          <cell r="H42" t="str">
            <v>YES</v>
          </cell>
          <cell r="I42" t="str">
            <v>YES</v>
          </cell>
          <cell r="J42" t="str">
            <v>HP elitebook 640 G11, core Ultra 5-125U, 16G Ram, 512Gb SSD, 14inch</v>
          </cell>
          <cell r="K42" t="str">
            <v>5CD5266ZTL</v>
          </cell>
        </row>
        <row r="43">
          <cell r="C43" t="str">
            <v>CBS0065</v>
          </cell>
          <cell r="D43" t="str">
            <v>Nguyễn Mạnh Cường</v>
          </cell>
          <cell r="E43" t="str">
            <v>Peter.Cuong@amphenol-cbs.com</v>
          </cell>
          <cell r="F43" t="str">
            <v>TTH-NB0040</v>
          </cell>
          <cell r="G43" t="str">
            <v>Chất lượng/ Quality</v>
          </cell>
          <cell r="H43" t="str">
            <v>YES</v>
          </cell>
          <cell r="I43" t="str">
            <v>YES</v>
          </cell>
          <cell r="J43" t="str">
            <v>HP elitebook 640 G11, core Ultra 5-125U, 16G Ram, 512Gb SSD, 14inch</v>
          </cell>
          <cell r="K43" t="str">
            <v>5CD5183JSS</v>
          </cell>
        </row>
        <row r="44">
          <cell r="C44" t="str">
            <v>CBS0008</v>
          </cell>
          <cell r="D44" t="str">
            <v>Nguyễn Thị An</v>
          </cell>
          <cell r="E44" t="str">
            <v>Anna.an@amphenol-cbs.com</v>
          </cell>
          <cell r="F44" t="str">
            <v>TTH-NB0041</v>
          </cell>
          <cell r="G44" t="str">
            <v>Quản lý chuỗi cung ứng/ SCM</v>
          </cell>
          <cell r="H44" t="str">
            <v>YES</v>
          </cell>
          <cell r="I44" t="str">
            <v>YES</v>
          </cell>
          <cell r="J44" t="str">
            <v>HP elitebook 640 G11, core Ultra 5-125U, 16G Ram, 512Gb SSD, 14inch</v>
          </cell>
          <cell r="K44" t="str">
            <v>5CD5183JST</v>
          </cell>
        </row>
        <row r="45">
          <cell r="C45" t="str">
            <v>CBS0009</v>
          </cell>
          <cell r="D45" t="str">
            <v>Nguyễn Thị Hiền</v>
          </cell>
          <cell r="E45" t="str">
            <v>Helen.hien@amphenol-cbs.com</v>
          </cell>
          <cell r="F45" t="str">
            <v>TTH-NB0042</v>
          </cell>
          <cell r="G45" t="str">
            <v>Tài chính/
Finance</v>
          </cell>
          <cell r="H45" t="str">
            <v>YES</v>
          </cell>
          <cell r="I45" t="str">
            <v>YES</v>
          </cell>
          <cell r="J45" t="str">
            <v>HP elitebook 640 G11, core Ultra 5-125U, 16G Ram, 512Gb SSD, 14inch</v>
          </cell>
          <cell r="K45" t="str">
            <v>5CD5397XM6</v>
          </cell>
        </row>
        <row r="46">
          <cell r="C46" t="str">
            <v>CBS0008</v>
          </cell>
          <cell r="D46" t="str">
            <v>Nguyễn Thị An</v>
          </cell>
          <cell r="E46" t="str">
            <v>Anna.an@amphenol-cbs.com</v>
          </cell>
          <cell r="F46" t="str">
            <v>TTH-PC0001</v>
          </cell>
          <cell r="G46" t="str">
            <v>Quản lý chuỗi cung ứng/ SCM</v>
          </cell>
          <cell r="H46" t="str">
            <v>YES</v>
          </cell>
          <cell r="I46" t="str">
            <v>YES</v>
          </cell>
          <cell r="J46" t="str">
            <v>DELL Slim i5-14400,16Gb Ram, 512 SSD</v>
          </cell>
          <cell r="K46" t="str">
            <v>31XB0B4</v>
          </cell>
        </row>
        <row r="47">
          <cell r="C47" t="str">
            <v xml:space="preserve">CNT0033		</v>
          </cell>
          <cell r="D47" t="str">
            <v>Qadir Qiu</v>
          </cell>
          <cell r="E47" t="str">
            <v>Qadir.Qiu@amphenol-cbs.com</v>
          </cell>
          <cell r="F47" t="str">
            <v>TTH-NB0043</v>
          </cell>
          <cell r="G47" t="str">
            <v>Production</v>
          </cell>
          <cell r="H47" t="str">
            <v>YES</v>
          </cell>
          <cell r="I47" t="str">
            <v>YES</v>
          </cell>
          <cell r="J47" t="str">
            <v>HP elitebook 640 G11, core Ultra 5-125U, 16G Ram, 512Gb SSD, 14inch</v>
          </cell>
          <cell r="K47" t="str">
            <v>5CD534DZQN</v>
          </cell>
        </row>
        <row r="48">
          <cell r="C48" t="str">
            <v>CBS0047</v>
          </cell>
          <cell r="D48" t="str">
            <v>Nguyễn Thị Quyên</v>
          </cell>
          <cell r="E48" t="str">
            <v>cara.quyen@amphenol-cbs.com</v>
          </cell>
          <cell r="F48" t="str">
            <v>TTH-NB0045</v>
          </cell>
          <cell r="G48" t="str">
            <v>Cơ sở hạ tầng/
Facility</v>
          </cell>
          <cell r="H48" t="str">
            <v>YES</v>
          </cell>
          <cell r="I48" t="str">
            <v>YES</v>
          </cell>
          <cell r="J48" t="str">
            <v>HP elitebook 640 G11, core Ultra 5-125U, 16G Ram, 512Gb SSD, 14inch</v>
          </cell>
          <cell r="K48" t="str">
            <v>5CD534DZSB</v>
          </cell>
        </row>
        <row r="49">
          <cell r="C49" t="str">
            <v>CBS0050</v>
          </cell>
          <cell r="D49" t="str">
            <v>ĐÀO XUÂN QUÂN</v>
          </cell>
          <cell r="E49" t="str">
            <v>kevin.quan@amphenol-cbs.com</v>
          </cell>
          <cell r="F49" t="str">
            <v>TTH-NB0047</v>
          </cell>
          <cell r="G49" t="str">
            <v>ME</v>
          </cell>
          <cell r="H49" t="str">
            <v>YES</v>
          </cell>
          <cell r="I49" t="str">
            <v>YES</v>
          </cell>
          <cell r="J49" t="str">
            <v>HP elitebook 640 G11, core Ultra 5-125U, 16G Ram, 512Gb SSD, 14inch</v>
          </cell>
          <cell r="K49" t="str">
            <v>5CD534DZR3</v>
          </cell>
        </row>
        <row r="50">
          <cell r="C50" t="str">
            <v>CBS0055</v>
          </cell>
          <cell r="D50" t="str">
            <v xml:space="preserve">Nguyễn Thị Thu Trang </v>
          </cell>
          <cell r="E50" t="str">
            <v>Kayla.Trang@amphenol-cbs.com</v>
          </cell>
          <cell r="F50" t="str">
            <v>TTH-NB0048</v>
          </cell>
          <cell r="G50" t="str">
            <v>Thu mua/Purchase</v>
          </cell>
          <cell r="H50" t="str">
            <v>YES</v>
          </cell>
          <cell r="I50" t="str">
            <v>YES</v>
          </cell>
          <cell r="J50" t="str">
            <v>HP elitebook 640 G11, core Ultra 5-125U, 16G Ram, 512Gb SSD, 14inch</v>
          </cell>
          <cell r="K50" t="str">
            <v>5CD534DZPH</v>
          </cell>
        </row>
        <row r="51">
          <cell r="C51" t="str">
            <v>CBS0051</v>
          </cell>
          <cell r="D51" t="str">
            <v>Nguyễn Chí Nguyện</v>
          </cell>
          <cell r="E51" t="str">
            <v>Zaki.Nguyen@amphenol-cbs.com</v>
          </cell>
          <cell r="F51" t="str">
            <v>TTH-NB0049</v>
          </cell>
          <cell r="G51" t="str">
            <v>Production</v>
          </cell>
          <cell r="H51" t="str">
            <v>YES</v>
          </cell>
          <cell r="I51" t="str">
            <v>YES</v>
          </cell>
          <cell r="J51" t="str">
            <v>HP elitebook 640 G11, core Ultra 5-125U, 16G Ram, 512Gb SSD, 14inch</v>
          </cell>
          <cell r="K51" t="str">
            <v>5CD534DZP1</v>
          </cell>
        </row>
        <row r="52">
          <cell r="C52" t="str">
            <v>CBS0024</v>
          </cell>
          <cell r="D52" t="str">
            <v>Thoa Elly</v>
          </cell>
          <cell r="E52" t="e">
            <v>#N/A</v>
          </cell>
          <cell r="F52" t="str">
            <v>TTH-PC0002</v>
          </cell>
          <cell r="G52" t="str">
            <v>Production</v>
          </cell>
          <cell r="H52" t="str">
            <v>YES</v>
          </cell>
          <cell r="I52" t="str">
            <v>YES</v>
          </cell>
          <cell r="J52" t="str">
            <v>HP Pro Tower 280 G9, Core i5-13500, Ram 16Gb, SSD 512/ Monitor HP 24inch</v>
          </cell>
          <cell r="K52" t="str">
            <v>4CE521CKWP</v>
          </cell>
        </row>
        <row r="53">
          <cell r="C53" t="str">
            <v>CBS0010</v>
          </cell>
          <cell r="D53" t="str">
            <v>VŨ XUÂN NAM</v>
          </cell>
          <cell r="E53" t="str">
            <v>Max.nam@amphenol-cbs.com</v>
          </cell>
          <cell r="F53" t="str">
            <v>TTH-PC0003</v>
          </cell>
          <cell r="G53" t="str">
            <v>Quản lý chuỗi cung ứng/ SCM</v>
          </cell>
          <cell r="H53" t="str">
            <v>YES</v>
          </cell>
          <cell r="I53" t="str">
            <v>YES</v>
          </cell>
          <cell r="J53" t="str">
            <v>HP Pro Tower 280 G9, Core i5-13500, Ram 16Gb, SSD 512/ Monitor HP 24inch</v>
          </cell>
          <cell r="K53" t="str">
            <v>4CE521CKWR</v>
          </cell>
        </row>
        <row r="54">
          <cell r="C54" t="str">
            <v>CBS0010</v>
          </cell>
          <cell r="D54" t="str">
            <v>VŨ XUÂN NAM</v>
          </cell>
          <cell r="E54" t="str">
            <v>Max.nam@amphenol-cbs.com</v>
          </cell>
          <cell r="F54" t="str">
            <v>TTH-PC0004</v>
          </cell>
          <cell r="G54" t="str">
            <v>Quản lý chuỗi cung ứng/ SCM</v>
          </cell>
          <cell r="H54" t="str">
            <v>YES</v>
          </cell>
          <cell r="I54" t="str">
            <v>YES</v>
          </cell>
          <cell r="J54" t="str">
            <v>HP Pro Tower 280 G9, Core i5-13500, Ram 16Gb, SSD 512/ Monitor HP 24inch</v>
          </cell>
          <cell r="K54" t="str">
            <v>4CE521CKX0</v>
          </cell>
        </row>
        <row r="55">
          <cell r="C55" t="str">
            <v>CBS0010</v>
          </cell>
          <cell r="D55" t="str">
            <v>VŨ XUÂN NAM</v>
          </cell>
          <cell r="E55" t="str">
            <v>Max.nam@amphenol-cbs.com</v>
          </cell>
          <cell r="F55" t="str">
            <v>TTH-PC0005</v>
          </cell>
          <cell r="G55" t="str">
            <v>Quản lý chuỗi cung ứng/ SCM</v>
          </cell>
          <cell r="H55" t="str">
            <v>YES</v>
          </cell>
          <cell r="I55" t="str">
            <v>YES</v>
          </cell>
          <cell r="J55" t="str">
            <v>HP Pro Tower 280 G9, Core i5-13500, Ram 16Gb, SSD 512/ Monitor HP 24inch</v>
          </cell>
          <cell r="K55" t="str">
            <v>4CE521CKZQ</v>
          </cell>
        </row>
        <row r="56">
          <cell r="C56" t="str">
            <v>CBS0054</v>
          </cell>
          <cell r="D56" t="str">
            <v>Trịnh Thị Mai</v>
          </cell>
          <cell r="E56" t="str">
            <v xml:space="preserve"> Mia.Mai@amphenol-cbs.com</v>
          </cell>
          <cell r="F56" t="str">
            <v>TTH-NB0050</v>
          </cell>
          <cell r="G56" t="str">
            <v>Quản lý chuỗi cung ứng/ SCM</v>
          </cell>
          <cell r="H56" t="str">
            <v>YES</v>
          </cell>
          <cell r="I56" t="str">
            <v>YES</v>
          </cell>
          <cell r="J56" t="str">
            <v>HP elitebook 640 G11, core Ultra 5-125U, 16G Ram, 512Gb SSD, 14inch</v>
          </cell>
          <cell r="K56" t="str">
            <v>5CD534DZRY</v>
          </cell>
        </row>
        <row r="57">
          <cell r="C57" t="str">
            <v>CBS0053</v>
          </cell>
          <cell r="D57" t="str">
            <v>Đặng Văn Luyện</v>
          </cell>
          <cell r="E57" t="str">
            <v>Dieter.Luyen@amphenol-cbs.com</v>
          </cell>
          <cell r="F57" t="str">
            <v>TTH-NB0051</v>
          </cell>
          <cell r="G57" t="str">
            <v>Production</v>
          </cell>
          <cell r="H57" t="str">
            <v>YES</v>
          </cell>
          <cell r="I57" t="str">
            <v>YES</v>
          </cell>
          <cell r="J57" t="str">
            <v>HP elitebook 640 G11, core Ultra 5-125U, 16G Ram, 512Gb SSD, 14inch</v>
          </cell>
          <cell r="K57" t="str">
            <v>5CD534DZQY</v>
          </cell>
        </row>
        <row r="58">
          <cell r="C58" t="str">
            <v>CBS0056</v>
          </cell>
          <cell r="D58" t="str">
            <v>Trần Thị Hà</v>
          </cell>
          <cell r="E58" t="str">
            <v>Lily.Ha@amphenol-cbs.com</v>
          </cell>
          <cell r="F58" t="str">
            <v>TTH-NB0052</v>
          </cell>
          <cell r="G58" t="str">
            <v>Hành chính nhân sự/ HR&amp;Admin</v>
          </cell>
          <cell r="H58" t="str">
            <v>YES</v>
          </cell>
          <cell r="I58" t="str">
            <v>YES</v>
          </cell>
          <cell r="J58" t="str">
            <v>HP elitebook 640 G11, core Ultra 5-125U, 16G Ram, 512Gb SSD, 14inch</v>
          </cell>
          <cell r="K58" t="str">
            <v>5CD534DZPG</v>
          </cell>
        </row>
        <row r="59">
          <cell r="C59" t="str">
            <v>CBS0059</v>
          </cell>
          <cell r="D59" t="str">
            <v xml:space="preserve">Nguyễn Thị Luyên
</v>
          </cell>
          <cell r="E59" t="str">
            <v>Lynn.Luyen@amphenol-cbs.com</v>
          </cell>
          <cell r="F59" t="str">
            <v>TTH-NB0053</v>
          </cell>
          <cell r="G59" t="str">
            <v>Quản lý chuỗi cung ứng/ SCM</v>
          </cell>
          <cell r="H59" t="str">
            <v>YES</v>
          </cell>
          <cell r="I59" t="str">
            <v>YES</v>
          </cell>
          <cell r="J59" t="str">
            <v>HP elitebook 640 G11, core Ultra 5-125U, 16G Ram, 512Gb SSD, 14inch</v>
          </cell>
          <cell r="K59" t="str">
            <v>5CD534DZPF</v>
          </cell>
        </row>
        <row r="60">
          <cell r="C60" t="str">
            <v>CBS0057</v>
          </cell>
          <cell r="D60" t="str">
            <v>Nguyễn Thu Quỳnh</v>
          </cell>
          <cell r="E60" t="str">
            <v>Mira.Quynh@amphenol-cbs.com</v>
          </cell>
          <cell r="F60" t="str">
            <v>TTH-NB0054</v>
          </cell>
          <cell r="G60" t="str">
            <v>Hành chính nhân sự/ HR&amp;Admin</v>
          </cell>
          <cell r="H60" t="str">
            <v>YES</v>
          </cell>
          <cell r="I60" t="str">
            <v>YES</v>
          </cell>
          <cell r="J60" t="str">
            <v>HP elitebook 640 G11, core Ultra 5-125U, 16G Ram, 512Gb SSD, 14inch</v>
          </cell>
          <cell r="K60" t="str">
            <v>5CD534DZSL</v>
          </cell>
        </row>
        <row r="61">
          <cell r="C61" t="str">
            <v>P0165</v>
          </cell>
          <cell r="D61" t="str">
            <v>Đinh Tuấn Dũng</v>
          </cell>
          <cell r="E61" t="str">
            <v>Vincent.Dung@amphenol-cbs.com</v>
          </cell>
          <cell r="F61" t="str">
            <v>TTH-NB0055</v>
          </cell>
          <cell r="G61" t="str">
            <v>ME</v>
          </cell>
          <cell r="H61" t="str">
            <v>YES</v>
          </cell>
          <cell r="I61" t="str">
            <v>YES</v>
          </cell>
          <cell r="J61" t="str">
            <v>HP elitebook 640 G11, core Ultra 5-125U, 16G Ram, 512Gb SSD, 14inch</v>
          </cell>
          <cell r="K61" t="str">
            <v>5CD534DZQV</v>
          </cell>
        </row>
        <row r="62">
          <cell r="C62" t="str">
            <v>CNT0022</v>
          </cell>
          <cell r="D62" t="str">
            <v>YAN JING</v>
          </cell>
          <cell r="E62" t="str">
            <v>Richard.yan@amphenol-cbs.com</v>
          </cell>
          <cell r="F62" t="str">
            <v>TTH-NB0056</v>
          </cell>
          <cell r="G62" t="str">
            <v>Production</v>
          </cell>
          <cell r="H62" t="str">
            <v>YES</v>
          </cell>
          <cell r="I62" t="str">
            <v>YES</v>
          </cell>
          <cell r="J62" t="str">
            <v>HP elitebook 640 G11, core Ultra 5-125U, 16G Ram, 512Gb SSD, 14inch</v>
          </cell>
          <cell r="K62" t="str">
            <v>5CD534DZQ3</v>
          </cell>
        </row>
        <row r="63">
          <cell r="C63" t="str">
            <v>CBS0066</v>
          </cell>
          <cell r="D63" t="str">
            <v>Nguyễn Thị Trúc Lâm</v>
          </cell>
          <cell r="E63" t="str">
            <v>Sylvia.Lam@amphenol-cbs.com</v>
          </cell>
          <cell r="F63" t="str">
            <v>TTH-NB0057</v>
          </cell>
          <cell r="G63" t="str">
            <v>Hành chính nhân sự/ HR&amp;Admin</v>
          </cell>
          <cell r="H63" t="str">
            <v>YES</v>
          </cell>
          <cell r="I63" t="str">
            <v>YES</v>
          </cell>
          <cell r="J63" t="str">
            <v>HP elitebook 640 G11, core Ultra 5-125U, 16G Ram, 512Gb SSD, 14inch</v>
          </cell>
          <cell r="K63" t="str">
            <v>5CD534DZSX</v>
          </cell>
        </row>
        <row r="64">
          <cell r="C64" t="str">
            <v>CBS0067</v>
          </cell>
          <cell r="D64" t="str">
            <v>Lưu Thị Hiền</v>
          </cell>
          <cell r="E64" t="str">
            <v>Lina.hien@amphenol-cbs.com</v>
          </cell>
          <cell r="F64" t="str">
            <v>TTH-NB0058</v>
          </cell>
          <cell r="G64" t="str">
            <v>ME</v>
          </cell>
          <cell r="H64" t="str">
            <v>YES</v>
          </cell>
          <cell r="I64" t="str">
            <v>YES</v>
          </cell>
          <cell r="J64" t="str">
            <v>HP elitebook 640 G11, core Ultra 5-125U, 16G Ram, 512Gb SSD, 14inch</v>
          </cell>
          <cell r="K64" t="str">
            <v>5CD534DZSH</v>
          </cell>
        </row>
        <row r="65">
          <cell r="C65" t="str">
            <v>CNT0032</v>
          </cell>
          <cell r="D65" t="str">
            <v>Alex WANG</v>
          </cell>
          <cell r="E65" t="str">
            <v>Alex.Wang@amphenol-cbs.com</v>
          </cell>
          <cell r="F65" t="str">
            <v>TTH-NB0059</v>
          </cell>
          <cell r="G65" t="str">
            <v>IE</v>
          </cell>
          <cell r="H65" t="str">
            <v>YES</v>
          </cell>
          <cell r="I65" t="str">
            <v>YES</v>
          </cell>
          <cell r="J65" t="str">
            <v>HP elitebook 640 G11, core Ultra 5-125U, 16G Ram, 512Gb SSD, 14inch</v>
          </cell>
          <cell r="K65" t="str">
            <v>5CD534DZPB</v>
          </cell>
        </row>
        <row r="66">
          <cell r="C66" t="str">
            <v>P0209</v>
          </cell>
          <cell r="D66" t="str">
            <v>Vũ Trọng Phú</v>
          </cell>
          <cell r="E66" t="str">
            <v>jack.phu@amphenol-cbs.com</v>
          </cell>
          <cell r="F66" t="str">
            <v>TTH-NB0060</v>
          </cell>
          <cell r="G66" t="str">
            <v>Chất lượng/ Quality</v>
          </cell>
          <cell r="H66" t="str">
            <v>YES</v>
          </cell>
          <cell r="I66" t="str">
            <v>YES</v>
          </cell>
          <cell r="J66" t="str">
            <v>HP elitebook 640 G11, core Ultra 5-125U, 16G Ram, 512Gb SSD, 14inch</v>
          </cell>
          <cell r="K66" t="str">
            <v>5CD534DZRP</v>
          </cell>
        </row>
        <row r="67">
          <cell r="D67" t="str">
            <v>Zhao Jian</v>
          </cell>
          <cell r="E67" t="str">
            <v>Jian.Zhao@amphenol-cbs.com</v>
          </cell>
          <cell r="F67" t="str">
            <v>TTH-NB0061</v>
          </cell>
          <cell r="G67" t="str">
            <v>ME</v>
          </cell>
          <cell r="H67" t="str">
            <v>YES</v>
          </cell>
          <cell r="I67" t="str">
            <v>YES</v>
          </cell>
          <cell r="J67" t="str">
            <v>HP elitebook 640 G11, core Ultra 5-125U, 16G Ram, 512Gb SSD, 14inch</v>
          </cell>
          <cell r="K67" t="str">
            <v>5CD534DZSN</v>
          </cell>
        </row>
        <row r="68">
          <cell r="C68" t="str">
            <v xml:space="preserve">CNT0031		</v>
          </cell>
          <cell r="D68" t="str">
            <v xml:space="preserve">Huang, Shenglei </v>
          </cell>
          <cell r="E68" t="str">
            <v>Shenlei.Huang@amphenol-cbs.com</v>
          </cell>
          <cell r="F68" t="str">
            <v>TTH-NB0062</v>
          </cell>
          <cell r="G68" t="str">
            <v>Cơ sở hạ tầng/
Facility</v>
          </cell>
          <cell r="H68" t="str">
            <v>YES</v>
          </cell>
          <cell r="I68" t="str">
            <v>YES</v>
          </cell>
          <cell r="J68" t="str">
            <v>HP elitebook 640 G11, core Ultra 5-125U, 16G Ram, 512Gb SSD, 14inch</v>
          </cell>
          <cell r="K68" t="str">
            <v>5CD5183KLW</v>
          </cell>
        </row>
        <row r="69">
          <cell r="C69" t="str">
            <v>CBS0070</v>
          </cell>
          <cell r="D69" t="str">
            <v>Đỗ Cao Dương</v>
          </cell>
          <cell r="E69" t="str">
            <v>Demi.duong@amphenol-cbs.com</v>
          </cell>
          <cell r="F69" t="str">
            <v>TTH-NB0063</v>
          </cell>
          <cell r="G69" t="str">
            <v>Production</v>
          </cell>
          <cell r="H69" t="str">
            <v>YES</v>
          </cell>
          <cell r="I69" t="str">
            <v>YES</v>
          </cell>
          <cell r="J69" t="str">
            <v>HP elitebook 640 G11, core Ultra 5-125U, 16G Ram, 512Gb SSD, 14inch</v>
          </cell>
          <cell r="K69" t="str">
            <v>5CD5183KL9</v>
          </cell>
        </row>
        <row r="70">
          <cell r="C70" t="str">
            <v>CBS0072</v>
          </cell>
          <cell r="D70" t="str">
            <v>Vũ Văn Lâm</v>
          </cell>
          <cell r="E70" t="str">
            <v>Lewis.Lam@amphenol-cbs.com</v>
          </cell>
          <cell r="F70" t="str">
            <v>TTH-NB0064</v>
          </cell>
          <cell r="G70" t="str">
            <v>Hành chính nhân sự/ HR&amp;Admin</v>
          </cell>
          <cell r="H70" t="str">
            <v>YES</v>
          </cell>
          <cell r="I70" t="str">
            <v>YES</v>
          </cell>
          <cell r="J70" t="str">
            <v>HP elitebook 640 G11, core Ultra 5-125U, 16G Ram, 512Gb SSD, 14inch</v>
          </cell>
          <cell r="K70" t="str">
            <v>5CD534DZR6</v>
          </cell>
        </row>
        <row r="71">
          <cell r="C71" t="str">
            <v>CBS0073</v>
          </cell>
          <cell r="D71" t="str">
            <v>Trịnh Hoài Nam</v>
          </cell>
          <cell r="E71" t="str">
            <v>Nick.Nam@amphenol-cbs.com</v>
          </cell>
          <cell r="F71" t="str">
            <v>TTH-NB0065</v>
          </cell>
          <cell r="G71" t="str">
            <v>Chất lượng/ Quality</v>
          </cell>
          <cell r="H71" t="str">
            <v>YES</v>
          </cell>
          <cell r="I71" t="str">
            <v>YES</v>
          </cell>
          <cell r="J71" t="str">
            <v>HP elitebook 640 G11, core Ultra 5-125U, 16G Ram, 512Gb SSD, 14inch</v>
          </cell>
          <cell r="K71" t="str">
            <v>5CD5183KKV</v>
          </cell>
        </row>
        <row r="72">
          <cell r="C72" t="str">
            <v>CBS0069</v>
          </cell>
          <cell r="D72" t="str">
            <v>Đặng Tùng Dương</v>
          </cell>
          <cell r="E72" t="str">
            <v>Paddy.Duong@amphenol-cbs.com</v>
          </cell>
          <cell r="F72" t="str">
            <v>TTH-NB0066</v>
          </cell>
          <cell r="G72" t="str">
            <v>NPI</v>
          </cell>
          <cell r="H72" t="str">
            <v>YES</v>
          </cell>
          <cell r="I72" t="str">
            <v>YES</v>
          </cell>
          <cell r="J72" t="str">
            <v>HP elitebook 640 G11, core Ultra 5-125U, 16G Ram, 512Gb SSD, 14inch</v>
          </cell>
          <cell r="K72" t="str">
            <v>5CD5183KL8</v>
          </cell>
        </row>
        <row r="73">
          <cell r="C73" t="str">
            <v>CBS0071</v>
          </cell>
          <cell r="D73" t="str">
            <v>Đinh Thị Thanh</v>
          </cell>
          <cell r="E73" t="str">
            <v>Sia.Thanh@amphenol-cbs.com</v>
          </cell>
          <cell r="F73" t="str">
            <v>TTH-NB0067</v>
          </cell>
          <cell r="G73" t="str">
            <v>Production</v>
          </cell>
          <cell r="H73" t="str">
            <v>YES</v>
          </cell>
          <cell r="I73" t="str">
            <v>YES</v>
          </cell>
          <cell r="J73" t="str">
            <v>HP elitebook 640 G11, core Ultra 5-125U, 16G Ram, 512Gb SSD, 14inch</v>
          </cell>
          <cell r="K73" t="str">
            <v>5CD534DZRR</v>
          </cell>
        </row>
        <row r="74">
          <cell r="C74" t="str">
            <v>CNT0034</v>
          </cell>
          <cell r="D74" t="str">
            <v>Gui, Linyu</v>
          </cell>
          <cell r="E74" t="str">
            <v>Ethan.Gui@amphenol-cbs.com</v>
          </cell>
          <cell r="F74" t="str">
            <v>TTH-NB0068</v>
          </cell>
          <cell r="G74" t="str">
            <v>ME</v>
          </cell>
          <cell r="H74" t="str">
            <v>YES</v>
          </cell>
          <cell r="I74" t="str">
            <v>YES</v>
          </cell>
          <cell r="J74" t="str">
            <v>HP elitebook 640 G11, core Ultra 5-125U, 16G Ram, 512Gb SSD, 14inch</v>
          </cell>
          <cell r="K74" t="str">
            <v>5CD534DZPV</v>
          </cell>
        </row>
        <row r="75">
          <cell r="C75" t="str">
            <v>CBS0078</v>
          </cell>
          <cell r="D75" t="str">
            <v>Triệu Hồng Sơn</v>
          </cell>
          <cell r="E75" t="str">
            <v>Mason.Son@amphenol-cbs.com</v>
          </cell>
          <cell r="F75" t="str">
            <v>TTH-NB0069</v>
          </cell>
          <cell r="G75" t="str">
            <v>ME</v>
          </cell>
          <cell r="H75" t="str">
            <v>YES</v>
          </cell>
          <cell r="I75" t="str">
            <v>YES</v>
          </cell>
          <cell r="J75" t="str">
            <v>HP elitebook 640 G11, core Ultra 5-125U, 16G Ram, 512Gb SSD, 14inch</v>
          </cell>
          <cell r="K75" t="str">
            <v>5CD534DZRJ</v>
          </cell>
        </row>
        <row r="76">
          <cell r="C76" t="str">
            <v>CBS0076</v>
          </cell>
          <cell r="D76" t="str">
            <v>Nguyễn Khánh Chi</v>
          </cell>
          <cell r="E76" t="str">
            <v>Celine.chi@amphenol-cbs.com</v>
          </cell>
          <cell r="F76" t="str">
            <v>TTH-NB0070</v>
          </cell>
          <cell r="G76" t="str">
            <v>Production</v>
          </cell>
          <cell r="H76" t="str">
            <v>YES</v>
          </cell>
          <cell r="I76" t="str">
            <v>YES</v>
          </cell>
          <cell r="J76" t="str">
            <v>HP elitebook 640 G11, core Ultra 5-125U, 16G Ram, 512Gb SSD, 14inch</v>
          </cell>
          <cell r="K76" t="str">
            <v>5CD534DZQ8</v>
          </cell>
        </row>
        <row r="77">
          <cell r="C77" t="str">
            <v>CBS0077</v>
          </cell>
          <cell r="D77" t="str">
            <v>Trương Mỹ Linh</v>
          </cell>
          <cell r="E77" t="str">
            <v>Miley.Linh@amphenol-cbs.com</v>
          </cell>
          <cell r="F77" t="str">
            <v>TTH-NB0071</v>
          </cell>
          <cell r="G77" t="str">
            <v>PE</v>
          </cell>
          <cell r="H77" t="str">
            <v>YES</v>
          </cell>
          <cell r="I77" t="str">
            <v>YES</v>
          </cell>
          <cell r="J77" t="str">
            <v>HP elitebook 640 G11, core Ultra 5-125U, 16G Ram, 512Gb SSD, 14inch</v>
          </cell>
          <cell r="K77" t="str">
            <v>5CD5183KLJ</v>
          </cell>
        </row>
        <row r="78">
          <cell r="C78" t="str">
            <v>CBS0075</v>
          </cell>
          <cell r="D78" t="str">
            <v>Đoàn Vĩnh Huy</v>
          </cell>
          <cell r="E78" t="str">
            <v>Michael.huy@amphenol-cbs.com</v>
          </cell>
          <cell r="F78" t="str">
            <v>TTH-NB0072</v>
          </cell>
          <cell r="G78" t="str">
            <v>Tài chính/
Finance</v>
          </cell>
          <cell r="H78" t="str">
            <v>YES</v>
          </cell>
          <cell r="I78" t="str">
            <v>YES</v>
          </cell>
          <cell r="J78" t="str">
            <v>HP elitebook 640 G11, core Ultra 5-125U, 16G Ram, 512Gb SSD, 14inch</v>
          </cell>
          <cell r="K78" t="str">
            <v>5CD5183KKL</v>
          </cell>
        </row>
        <row r="79">
          <cell r="C79" t="str">
            <v>CNT0037</v>
          </cell>
          <cell r="D79" t="str">
            <v>Andy Ye</v>
          </cell>
          <cell r="E79" t="str">
            <v>Andy.Ye@amphenol-cbs.com</v>
          </cell>
          <cell r="F79" t="str">
            <v>TTH-NB0073</v>
          </cell>
          <cell r="G79" t="str">
            <v>Chất lượng/ Quality</v>
          </cell>
          <cell r="H79" t="str">
            <v>YES</v>
          </cell>
          <cell r="I79" t="str">
            <v>YES</v>
          </cell>
          <cell r="J79" t="str">
            <v>HP elitebook 640 G11, core Ultra 5-125U, 16G Ram, 512Gb SSD, 14inch</v>
          </cell>
          <cell r="K79" t="str">
            <v>5CD5183KL3</v>
          </cell>
        </row>
        <row r="80">
          <cell r="C80" t="str">
            <v>CNT0036</v>
          </cell>
          <cell r="D80" t="str">
            <v>Baron Lin</v>
          </cell>
          <cell r="E80" t="str">
            <v>Baron.Lin@amphenol-cbs.com</v>
          </cell>
          <cell r="F80" t="str">
            <v>TTH-NB0074</v>
          </cell>
          <cell r="G80" t="str">
            <v>Hành chính nhân sự/ HR&amp;Admin</v>
          </cell>
          <cell r="H80" t="str">
            <v>YES</v>
          </cell>
          <cell r="I80" t="str">
            <v>YES</v>
          </cell>
          <cell r="J80" t="str">
            <v>HP elitebook 640 G11, core Ultra 5-125U, 16G Ram, 512Gb SSD, 14inch</v>
          </cell>
          <cell r="K80" t="str">
            <v>5CD5183KLK</v>
          </cell>
        </row>
        <row r="81">
          <cell r="C81" t="str">
            <v>CNT0035</v>
          </cell>
          <cell r="D81" t="str">
            <v>Li, Mingchuan</v>
          </cell>
          <cell r="E81" t="str">
            <v>Alex.Li@amphenol-cbs.com</v>
          </cell>
          <cell r="F81" t="str">
            <v>TTH-NB0075</v>
          </cell>
          <cell r="G81" t="str">
            <v>Hành chính nhân sự/ HR&amp;Admin</v>
          </cell>
          <cell r="H81" t="str">
            <v>YES</v>
          </cell>
          <cell r="I81" t="str">
            <v>YES</v>
          </cell>
          <cell r="J81" t="str">
            <v>HP elitebook 640 G11, core Ultra 5-125U, 16G Ram, 512Gb SSD, 14inch</v>
          </cell>
          <cell r="K81" t="str">
            <v>5CD5183KKB</v>
          </cell>
        </row>
        <row r="82">
          <cell r="C82" t="str">
            <v>CNT0038</v>
          </cell>
          <cell r="D82" t="str">
            <v>Peng, Shuai</v>
          </cell>
          <cell r="E82" t="str">
            <v>Shawn.Peng@amphenol-cbs.com</v>
          </cell>
          <cell r="F82" t="str">
            <v>TTH-NB0076</v>
          </cell>
          <cell r="G82" t="str">
            <v>Production</v>
          </cell>
          <cell r="H82" t="str">
            <v>YES</v>
          </cell>
          <cell r="I82" t="str">
            <v>YES</v>
          </cell>
          <cell r="J82" t="str">
            <v>HP elitebook 640 G11, core Ultra 5-125U, 16G Ram, 512Gb SSD, 14inch</v>
          </cell>
          <cell r="K82" t="str">
            <v>5CD534DZRT</v>
          </cell>
        </row>
        <row r="83">
          <cell r="D83" t="str">
            <v>Chen, Youhong</v>
          </cell>
          <cell r="E83" t="e">
            <v>#N/A</v>
          </cell>
          <cell r="F83" t="str">
            <v>TTH-NB0077</v>
          </cell>
          <cell r="G83" t="str">
            <v>IE</v>
          </cell>
          <cell r="H83" t="str">
            <v>YES</v>
          </cell>
          <cell r="I83" t="str">
            <v>YES</v>
          </cell>
          <cell r="J83" t="str">
            <v>HP elitebook 640 G11, core Ultra 5-125U, 16G Ram, 512Gb SSD, 14inch</v>
          </cell>
          <cell r="K83" t="str">
            <v>5CD6036LBJ</v>
          </cell>
        </row>
        <row r="84">
          <cell r="C84" t="str">
            <v>CNT0039</v>
          </cell>
          <cell r="D84" t="str">
            <v>Guo, Shouwu</v>
          </cell>
          <cell r="E84" t="str">
            <v>Gavin.Guo@amphenol-cbs.com</v>
          </cell>
          <cell r="F84" t="str">
            <v>TTH-NB0078</v>
          </cell>
          <cell r="H84" t="str">
            <v>YES</v>
          </cell>
          <cell r="I84" t="str">
            <v>YES</v>
          </cell>
          <cell r="J84" t="str">
            <v>HP elitebook 640 G11, core Ultra 5-125U, 16G Ram, 512Gb SSD, 14inch</v>
          </cell>
          <cell r="K84" t="str">
            <v>5CD6036LFR</v>
          </cell>
        </row>
        <row r="85">
          <cell r="D85" t="e">
            <v>#N/A</v>
          </cell>
          <cell r="E85" t="e">
            <v>#N/A</v>
          </cell>
          <cell r="F85" t="str">
            <v>TTH-NB0079</v>
          </cell>
          <cell r="H85" t="str">
            <v>YES</v>
          </cell>
          <cell r="I85" t="str">
            <v>YES</v>
          </cell>
          <cell r="J85" t="str">
            <v>HP elitebook 640 G11, core Ultra 5-125U, 16G Ram, 512Gb SSD, 14inch</v>
          </cell>
          <cell r="K85" t="str">
            <v>5CD6036LF5</v>
          </cell>
        </row>
        <row r="86">
          <cell r="D86" t="e">
            <v>#N/A</v>
          </cell>
          <cell r="E86" t="e">
            <v>#N/A</v>
          </cell>
          <cell r="F86" t="str">
            <v>TTH-NB0080</v>
          </cell>
          <cell r="H86" t="str">
            <v>YES</v>
          </cell>
          <cell r="I86" t="str">
            <v>YES</v>
          </cell>
          <cell r="J86" t="str">
            <v>HP elitebook 640 G11, core Ultra 5-125U, 16G Ram, 512Gb SSD, 14inch</v>
          </cell>
          <cell r="K86" t="str">
            <v>5CD6036L99</v>
          </cell>
        </row>
        <row r="87">
          <cell r="D87" t="e">
            <v>#N/A</v>
          </cell>
          <cell r="E87" t="e">
            <v>#N/A</v>
          </cell>
          <cell r="F87" t="str">
            <v>TTH-NB0081</v>
          </cell>
          <cell r="H87" t="str">
            <v>YES</v>
          </cell>
          <cell r="I87" t="str">
            <v>YES</v>
          </cell>
          <cell r="J87" t="str">
            <v>HP elitebook 640 G11, core Ultra 5-125U, 16G Ram, 512Gb SSD, 14inch</v>
          </cell>
          <cell r="K87" t="str">
            <v>5CD6036LBL</v>
          </cell>
        </row>
        <row r="88">
          <cell r="C88" t="str">
            <v>CNT0040</v>
          </cell>
          <cell r="D88" t="str">
            <v>Zou, Cangsong</v>
          </cell>
          <cell r="E88" t="str">
            <v>Peter.Zou@amphenol-cbs.com</v>
          </cell>
          <cell r="F88" t="str">
            <v>TTH-NB0082</v>
          </cell>
          <cell r="G88" t="str">
            <v>Automation Engineering</v>
          </cell>
          <cell r="H88" t="str">
            <v>YES</v>
          </cell>
          <cell r="I88" t="str">
            <v>YES</v>
          </cell>
          <cell r="J88" t="str">
            <v>HP elitebook 640 G11, core Ultra 5-125U, 16G Ram, 512Gb SSD, 14inch</v>
          </cell>
          <cell r="K88" t="str">
            <v>5CD6036LBB</v>
          </cell>
        </row>
        <row r="89">
          <cell r="D89" t="e">
            <v>#N/A</v>
          </cell>
          <cell r="E89" t="e">
            <v>#N/A</v>
          </cell>
          <cell r="F89" t="str">
            <v>TTH-NB0083</v>
          </cell>
          <cell r="H89" t="str">
            <v>YES</v>
          </cell>
          <cell r="I89" t="str">
            <v>YES</v>
          </cell>
          <cell r="J89" t="str">
            <v>HP elitebook 640 G11, core Ultra 5-125U, 16G Ram, 512Gb SSD, 14inch</v>
          </cell>
          <cell r="K89" t="str">
            <v>5CD6036LBK</v>
          </cell>
        </row>
        <row r="90">
          <cell r="C90" t="str">
            <v>CBS0080</v>
          </cell>
          <cell r="D90" t="str">
            <v>Nguyễn Thị Huế</v>
          </cell>
          <cell r="E90" t="str">
            <v>Cici.Hue@amphenol-cbs.com</v>
          </cell>
          <cell r="F90" t="str">
            <v>TTH-NB0084</v>
          </cell>
          <cell r="G90" t="str">
            <v>Production</v>
          </cell>
          <cell r="H90" t="str">
            <v>YES</v>
          </cell>
          <cell r="I90" t="str">
            <v>YES</v>
          </cell>
          <cell r="J90" t="str">
            <v>HP elitebook 640 G11, core Ultra 5-125U, 16G Ram, 512Gb SSD, 14inch</v>
          </cell>
          <cell r="K90" t="str">
            <v>5CD6036LCL</v>
          </cell>
        </row>
        <row r="91">
          <cell r="D91" t="e">
            <v>#N/A</v>
          </cell>
          <cell r="E91" t="e">
            <v>#N/A</v>
          </cell>
          <cell r="F91" t="str">
            <v>TTH-NB0085</v>
          </cell>
          <cell r="H91" t="str">
            <v>YES</v>
          </cell>
          <cell r="I91" t="str">
            <v>YES</v>
          </cell>
          <cell r="J91" t="str">
            <v>HP elitebook 640 G11, core Ultra 5-125U, 16G Ram, 512Gb SSD, 14inch</v>
          </cell>
        </row>
        <row r="92">
          <cell r="D92" t="e">
            <v>#N/A</v>
          </cell>
          <cell r="E92" t="e">
            <v>#N/A</v>
          </cell>
          <cell r="F92" t="str">
            <v>TTH-NB0086</v>
          </cell>
          <cell r="H92" t="str">
            <v>YES</v>
          </cell>
          <cell r="I92" t="str">
            <v>YES</v>
          </cell>
          <cell r="J92" t="str">
            <v>HP elitebook 640 G11, core Ultra 5-125U, 16G Ram, 512Gb SSD, 14inch</v>
          </cell>
        </row>
        <row r="93">
          <cell r="D93" t="e">
            <v>#N/A</v>
          </cell>
          <cell r="E93" t="e">
            <v>#N/A</v>
          </cell>
          <cell r="F93" t="str">
            <v>TTH-NB0087</v>
          </cell>
          <cell r="H93" t="str">
            <v>YES</v>
          </cell>
          <cell r="I93" t="str">
            <v>YES</v>
          </cell>
          <cell r="J93" t="str">
            <v>HP elitebook 640 G11, core Ultra 5-125U, 16G Ram, 512Gb SSD, 14inch</v>
          </cell>
        </row>
        <row r="94">
          <cell r="D94" t="e">
            <v>#N/A</v>
          </cell>
          <cell r="E94" t="e">
            <v>#N/A</v>
          </cell>
          <cell r="F94" t="str">
            <v>TTH-NB0088</v>
          </cell>
          <cell r="H94" t="str">
            <v>YES</v>
          </cell>
          <cell r="I94" t="str">
            <v>YES</v>
          </cell>
          <cell r="J94" t="str">
            <v>HP elitebook 640 G11, core Ultra 5-125U, 16G Ram, 512Gb SSD, 14inch</v>
          </cell>
        </row>
        <row r="95">
          <cell r="D95" t="e">
            <v>#N/A</v>
          </cell>
          <cell r="E95" t="e">
            <v>#N/A</v>
          </cell>
          <cell r="F95" t="str">
            <v>TTH-NB0089</v>
          </cell>
        </row>
        <row r="96">
          <cell r="D96" t="e">
            <v>#N/A</v>
          </cell>
          <cell r="E96" t="e">
            <v>#N/A</v>
          </cell>
          <cell r="F96" t="str">
            <v>TTH-NB0090</v>
          </cell>
        </row>
        <row r="97">
          <cell r="D97" t="e">
            <v>#N/A</v>
          </cell>
          <cell r="E97" t="e">
            <v>#N/A</v>
          </cell>
        </row>
      </sheetData>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1B388-5E15-4BA5-8AB7-8CCE4F01F722}">
  <dimension ref="A2:M37"/>
  <sheetViews>
    <sheetView view="pageBreakPreview" topLeftCell="A4" zoomScaleNormal="96" zoomScaleSheetLayoutView="100" workbookViewId="0">
      <selection activeCell="M9" sqref="M9"/>
    </sheetView>
  </sheetViews>
  <sheetFormatPr defaultColWidth="9.7109375" defaultRowHeight="15"/>
  <cols>
    <col min="1" max="1" width="18.140625" style="1" customWidth="1"/>
    <col min="2" max="2" width="21.5703125" style="1" customWidth="1"/>
    <col min="3" max="5" width="21.140625" style="1" customWidth="1"/>
    <col min="6" max="6" width="29.85546875" style="1" customWidth="1"/>
    <col min="10" max="10" width="29" customWidth="1"/>
    <col min="12" max="12" width="15.5703125" customWidth="1"/>
    <col min="13" max="13" width="25.140625" customWidth="1"/>
  </cols>
  <sheetData>
    <row r="2" spans="1:13" ht="33.75" customHeight="1">
      <c r="A2" s="28" t="s">
        <v>0</v>
      </c>
      <c r="B2" s="28"/>
      <c r="C2" s="28"/>
      <c r="D2" s="28"/>
      <c r="E2" s="28"/>
      <c r="F2" s="28"/>
    </row>
    <row r="3" spans="1:13" ht="33.75" customHeight="1">
      <c r="A3" s="28" t="s">
        <v>1</v>
      </c>
      <c r="B3" s="28"/>
      <c r="C3" s="28"/>
      <c r="D3" s="28"/>
      <c r="E3" s="28"/>
      <c r="F3" s="28"/>
    </row>
    <row r="4" spans="1:13" ht="21.75" customHeight="1">
      <c r="A4" s="2"/>
      <c r="B4" s="2"/>
      <c r="C4" s="2"/>
      <c r="D4" s="2"/>
      <c r="E4" s="2"/>
      <c r="F4" s="2"/>
    </row>
    <row r="5" spans="1:13" ht="39.6" customHeight="1">
      <c r="A5" s="9" t="s">
        <v>4</v>
      </c>
      <c r="B5" s="29">
        <f ca="1">TODAY()</f>
        <v>46149</v>
      </c>
      <c r="C5" s="30"/>
      <c r="D5" s="5"/>
      <c r="E5" s="9" t="s">
        <v>5</v>
      </c>
      <c r="F5" s="4"/>
    </row>
    <row r="6" spans="1:13" ht="9.75" customHeight="1">
      <c r="A6" s="2"/>
      <c r="B6" s="2"/>
      <c r="C6" s="2"/>
      <c r="D6" s="2"/>
      <c r="E6" s="2"/>
      <c r="F6" s="2"/>
    </row>
    <row r="7" spans="1:13" ht="35.450000000000003" customHeight="1">
      <c r="A7" s="31" t="s">
        <v>6</v>
      </c>
      <c r="B7" s="31"/>
      <c r="C7" s="31"/>
      <c r="D7" s="31"/>
      <c r="E7" s="31"/>
      <c r="F7" s="31"/>
    </row>
    <row r="8" spans="1:13" ht="35.450000000000003" customHeight="1">
      <c r="A8" s="9" t="s">
        <v>38</v>
      </c>
      <c r="B8" s="12" t="str">
        <f>J10</f>
        <v>TTH-NB0065</v>
      </c>
      <c r="C8" s="9" t="s">
        <v>8</v>
      </c>
      <c r="D8" s="11" t="str">
        <f>J16</f>
        <v>5CD5183KKV</v>
      </c>
      <c r="E8" s="9" t="s">
        <v>10</v>
      </c>
      <c r="F8" s="10"/>
    </row>
    <row r="9" spans="1:13" ht="35.450000000000003" customHeight="1">
      <c r="A9" s="9" t="s">
        <v>7</v>
      </c>
      <c r="B9" s="10" t="str">
        <f>J11</f>
        <v>HP Elitebook 640 G11</v>
      </c>
      <c r="C9" s="9" t="s">
        <v>9</v>
      </c>
      <c r="D9" s="17" t="str">
        <f>J13</f>
        <v>Core Ultra 5-125U</v>
      </c>
      <c r="E9" s="9" t="s">
        <v>11</v>
      </c>
      <c r="F9" s="10">
        <f>J14</f>
        <v>16</v>
      </c>
      <c r="L9" s="9" t="s">
        <v>17</v>
      </c>
      <c r="M9" s="18" t="s">
        <v>52</v>
      </c>
    </row>
    <row r="10" spans="1:13" ht="35.450000000000003" customHeight="1">
      <c r="A10" s="9" t="s">
        <v>14</v>
      </c>
      <c r="B10" s="10">
        <f>J12</f>
        <v>512</v>
      </c>
      <c r="C10" s="9" t="s">
        <v>12</v>
      </c>
      <c r="D10" s="10" t="s">
        <v>40</v>
      </c>
      <c r="E10" s="9" t="s">
        <v>43</v>
      </c>
      <c r="F10" s="10" t="str">
        <f>J15</f>
        <v>14-inch</v>
      </c>
      <c r="I10" s="13" t="s">
        <v>39</v>
      </c>
      <c r="J10" s="14" t="s">
        <v>51</v>
      </c>
      <c r="L10" s="13" t="s">
        <v>49</v>
      </c>
      <c r="M10" s="19" t="str">
        <f>VLOOKUP($M$9,[1]IDL!B5:O112,14,TRUE)</f>
        <v>Nick.Nam@amphenol-cbs.com</v>
      </c>
    </row>
    <row r="11" spans="1:13" ht="35.450000000000003" customHeight="1">
      <c r="A11" s="9" t="s">
        <v>15</v>
      </c>
      <c r="B11" s="10" t="s">
        <v>46</v>
      </c>
      <c r="C11" s="9" t="s">
        <v>13</v>
      </c>
      <c r="D11" s="10">
        <v>1</v>
      </c>
      <c r="E11" s="9" t="s">
        <v>48</v>
      </c>
      <c r="F11" s="10" t="s">
        <v>46</v>
      </c>
      <c r="I11" s="13" t="s">
        <v>7</v>
      </c>
      <c r="J11" s="13" t="s">
        <v>47</v>
      </c>
      <c r="L11" s="13" t="s">
        <v>18</v>
      </c>
      <c r="M11" s="19" t="str">
        <f>UPPER(VLOOKUP($M$9,[1]IDL!$B$5:$O$112,2,TRUE))</f>
        <v>TRỊNH HOÀI NAM</v>
      </c>
    </row>
    <row r="12" spans="1:13" ht="27" customHeight="1">
      <c r="A12" s="5"/>
      <c r="B12" s="5"/>
      <c r="C12" s="5"/>
      <c r="D12" s="5"/>
      <c r="E12" s="5"/>
      <c r="F12" s="5"/>
      <c r="I12" s="13" t="s">
        <v>14</v>
      </c>
      <c r="J12" s="13">
        <v>512</v>
      </c>
      <c r="L12" s="13" t="s">
        <v>19</v>
      </c>
      <c r="M12" s="19" t="str">
        <f>VLOOKUP($M$9,[1]IDL!$B$5:$O$112,8,TRUE)</f>
        <v xml:space="preserve">Quality </v>
      </c>
    </row>
    <row r="13" spans="1:13" ht="40.5" customHeight="1">
      <c r="A13" s="31" t="s">
        <v>16</v>
      </c>
      <c r="B13" s="31"/>
      <c r="C13" s="31"/>
      <c r="D13" s="31"/>
      <c r="E13" s="31"/>
      <c r="F13" s="31"/>
      <c r="I13" s="13" t="s">
        <v>9</v>
      </c>
      <c r="J13" s="13" t="s">
        <v>41</v>
      </c>
    </row>
    <row r="14" spans="1:13" ht="39" customHeight="1">
      <c r="A14" s="9" t="s">
        <v>17</v>
      </c>
      <c r="B14" s="10" t="str">
        <f>M9</f>
        <v>CBS0076</v>
      </c>
      <c r="C14" s="9" t="s">
        <v>18</v>
      </c>
      <c r="D14" s="10" t="str">
        <f>M11</f>
        <v>TRỊNH HOÀI NAM</v>
      </c>
      <c r="E14" s="9" t="s">
        <v>19</v>
      </c>
      <c r="F14" s="10" t="str">
        <f>M12</f>
        <v xml:space="preserve">Quality </v>
      </c>
      <c r="I14" s="13" t="s">
        <v>42</v>
      </c>
      <c r="J14" s="13">
        <v>16</v>
      </c>
    </row>
    <row r="15" spans="1:13" ht="45.75" customHeight="1">
      <c r="A15" s="9" t="s">
        <v>20</v>
      </c>
      <c r="B15" s="10" t="str">
        <f>M10</f>
        <v>Nick.Nam@amphenol-cbs.com</v>
      </c>
      <c r="C15" s="9" t="s">
        <v>21</v>
      </c>
      <c r="D15" s="10" t="s">
        <v>45</v>
      </c>
      <c r="E15" s="9" t="s">
        <v>48</v>
      </c>
      <c r="F15" s="10" t="s">
        <v>46</v>
      </c>
      <c r="I15" s="13" t="s">
        <v>43</v>
      </c>
      <c r="J15" s="13" t="s">
        <v>44</v>
      </c>
    </row>
    <row r="16" spans="1:13" ht="18.75" customHeight="1">
      <c r="A16" s="6"/>
      <c r="B16" s="6"/>
      <c r="C16" s="6"/>
      <c r="D16" s="6"/>
      <c r="E16" s="6"/>
      <c r="F16" s="6"/>
      <c r="I16" s="15" t="s">
        <v>50</v>
      </c>
      <c r="J16" s="16" t="str">
        <f>VLOOKUP(J10,'[2]User List'!$F$4:$K$477,6,TRUE)</f>
        <v>5CD5183KKV</v>
      </c>
    </row>
    <row r="17" spans="1:6" ht="18" customHeight="1">
      <c r="A17" s="32" t="s">
        <v>24</v>
      </c>
      <c r="B17" s="32"/>
      <c r="C17" s="32"/>
      <c r="D17" s="32"/>
      <c r="E17" s="32"/>
      <c r="F17" s="32"/>
    </row>
    <row r="18" spans="1:6" ht="13.5" customHeight="1">
      <c r="A18" s="24"/>
      <c r="B18" s="24"/>
      <c r="C18" s="24"/>
      <c r="D18" s="24"/>
      <c r="E18" s="24"/>
      <c r="F18" s="24"/>
    </row>
    <row r="19" spans="1:6" ht="31.5" customHeight="1">
      <c r="A19" s="23" t="s">
        <v>32</v>
      </c>
      <c r="B19" s="23"/>
      <c r="C19" s="23"/>
      <c r="D19" s="23"/>
      <c r="E19" s="23"/>
      <c r="F19" s="23"/>
    </row>
    <row r="20" spans="1:6" ht="32.25" customHeight="1">
      <c r="A20" s="22" t="s">
        <v>33</v>
      </c>
      <c r="B20" s="22"/>
      <c r="C20" s="22"/>
      <c r="D20" s="22"/>
      <c r="E20" s="22"/>
      <c r="F20" s="22"/>
    </row>
    <row r="21" spans="1:6" ht="34.5" customHeight="1">
      <c r="A21" s="22" t="s">
        <v>34</v>
      </c>
      <c r="B21" s="22"/>
      <c r="C21" s="22"/>
      <c r="D21" s="22"/>
      <c r="E21" s="22"/>
      <c r="F21" s="22"/>
    </row>
    <row r="22" spans="1:6" ht="40.5" customHeight="1">
      <c r="A22" s="7" t="s">
        <v>25</v>
      </c>
      <c r="B22" s="25" t="s">
        <v>26</v>
      </c>
      <c r="C22" s="25"/>
      <c r="D22" s="25"/>
      <c r="E22" s="25"/>
      <c r="F22" s="25"/>
    </row>
    <row r="23" spans="1:6" ht="24" customHeight="1">
      <c r="A23" s="26" t="s">
        <v>27</v>
      </c>
      <c r="B23" s="27" t="s">
        <v>28</v>
      </c>
      <c r="C23" s="27"/>
      <c r="D23" s="27"/>
      <c r="E23" s="27"/>
      <c r="F23" s="27"/>
    </row>
    <row r="24" spans="1:6" ht="21" customHeight="1">
      <c r="A24" s="26"/>
      <c r="B24" s="27" t="s">
        <v>29</v>
      </c>
      <c r="C24" s="27"/>
      <c r="D24" s="27"/>
      <c r="E24" s="27"/>
      <c r="F24" s="27"/>
    </row>
    <row r="25" spans="1:6" ht="24" customHeight="1">
      <c r="A25" s="26"/>
      <c r="B25" s="27" t="s">
        <v>30</v>
      </c>
      <c r="C25" s="27"/>
      <c r="D25" s="27"/>
      <c r="E25" s="27"/>
      <c r="F25" s="27"/>
    </row>
    <row r="26" spans="1:6" ht="12" customHeight="1">
      <c r="A26" s="8"/>
      <c r="B26" s="8"/>
      <c r="C26" s="8"/>
      <c r="D26" s="8"/>
      <c r="E26" s="8"/>
      <c r="F26" s="8"/>
    </row>
    <row r="27" spans="1:6" ht="51.75" customHeight="1">
      <c r="A27" s="22" t="s">
        <v>37</v>
      </c>
      <c r="B27" s="22"/>
      <c r="C27" s="22"/>
      <c r="D27" s="22"/>
      <c r="E27" s="22"/>
      <c r="F27" s="22"/>
    </row>
    <row r="28" spans="1:6" ht="37.5" customHeight="1">
      <c r="A28" s="22" t="s">
        <v>35</v>
      </c>
      <c r="B28" s="22"/>
      <c r="C28" s="22"/>
      <c r="D28" s="22"/>
      <c r="E28" s="22"/>
      <c r="F28" s="22"/>
    </row>
    <row r="29" spans="1:6" ht="28.5" customHeight="1">
      <c r="A29" s="23" t="s">
        <v>36</v>
      </c>
      <c r="B29" s="23"/>
      <c r="C29" s="23"/>
      <c r="D29" s="23"/>
      <c r="E29" s="23"/>
      <c r="F29" s="23"/>
    </row>
    <row r="30" spans="1:6" ht="16.5" customHeight="1"/>
    <row r="31" spans="1:6" ht="30.6" customHeight="1">
      <c r="A31" s="20" t="s">
        <v>2</v>
      </c>
      <c r="B31" s="20"/>
      <c r="C31" s="20" t="s">
        <v>3</v>
      </c>
      <c r="D31" s="20"/>
      <c r="E31" s="20"/>
      <c r="F31" s="20"/>
    </row>
    <row r="32" spans="1:6" ht="24" customHeight="1">
      <c r="A32" s="20" t="s">
        <v>31</v>
      </c>
      <c r="B32" s="20"/>
      <c r="C32" s="20" t="s">
        <v>22</v>
      </c>
      <c r="D32" s="20"/>
      <c r="E32" s="20" t="s">
        <v>23</v>
      </c>
      <c r="F32" s="20"/>
    </row>
    <row r="33" spans="1:6" ht="24" customHeight="1">
      <c r="A33" s="20"/>
      <c r="B33" s="20"/>
      <c r="C33" s="20"/>
      <c r="D33" s="20"/>
      <c r="E33" s="21"/>
      <c r="F33" s="21"/>
    </row>
    <row r="34" spans="1:6">
      <c r="A34" s="20"/>
      <c r="B34" s="20"/>
      <c r="C34" s="20"/>
      <c r="D34" s="20"/>
      <c r="E34" s="21"/>
      <c r="F34" s="21"/>
    </row>
    <row r="35" spans="1:6" ht="44.25" customHeight="1">
      <c r="A35" s="20"/>
      <c r="B35" s="20"/>
      <c r="C35" s="20"/>
      <c r="D35" s="20"/>
      <c r="E35" s="21"/>
      <c r="F35" s="21"/>
    </row>
    <row r="37" spans="1:6">
      <c r="A37" s="3"/>
      <c r="B37" s="3"/>
      <c r="C37" s="3"/>
      <c r="D37" s="3"/>
      <c r="E37" s="3"/>
      <c r="F37" s="3"/>
    </row>
  </sheetData>
  <mergeCells count="26">
    <mergeCell ref="C33:D35"/>
    <mergeCell ref="E32:F32"/>
    <mergeCell ref="E33:F35"/>
    <mergeCell ref="C31:F31"/>
    <mergeCell ref="A33:B35"/>
    <mergeCell ref="A21:F21"/>
    <mergeCell ref="B22:F22"/>
    <mergeCell ref="A31:B31"/>
    <mergeCell ref="C32:D32"/>
    <mergeCell ref="A29:F29"/>
    <mergeCell ref="A13:F13"/>
    <mergeCell ref="A18:F18"/>
    <mergeCell ref="A32:B32"/>
    <mergeCell ref="A2:F2"/>
    <mergeCell ref="A3:F3"/>
    <mergeCell ref="A7:F7"/>
    <mergeCell ref="B5:C5"/>
    <mergeCell ref="A28:F28"/>
    <mergeCell ref="A23:A25"/>
    <mergeCell ref="B23:F23"/>
    <mergeCell ref="B24:F24"/>
    <mergeCell ref="B25:F25"/>
    <mergeCell ref="A27:F27"/>
    <mergeCell ref="A17:F17"/>
    <mergeCell ref="A19:F19"/>
    <mergeCell ref="A20:F20"/>
  </mergeCells>
  <printOptions horizontalCentered="1"/>
  <pageMargins left="0.23622047244094499" right="0.23622047244094499" top="0.74803149606299202" bottom="0.74803149606299202" header="0.31496062992126" footer="0.31496062992126"/>
  <pageSetup paperSize="9" scale="74" orientation="portrait" blackAndWhite="1"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94A84-21BB-41EF-BAE4-1DA1D159A464}">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9E827-2208-47AD-BCC5-702E0CCEFE5C}">
  <dimension ref="A2:M37"/>
  <sheetViews>
    <sheetView tabSelected="1" view="pageBreakPreview" topLeftCell="A6" zoomScaleNormal="96" zoomScaleSheetLayoutView="100" workbookViewId="0">
      <selection activeCell="M10" sqref="M10"/>
    </sheetView>
  </sheetViews>
  <sheetFormatPr defaultColWidth="9.7109375" defaultRowHeight="15"/>
  <cols>
    <col min="1" max="1" width="18.140625" style="1" customWidth="1"/>
    <col min="2" max="2" width="21.5703125" style="1" customWidth="1"/>
    <col min="3" max="5" width="21.140625" style="1" customWidth="1"/>
    <col min="6" max="6" width="29.85546875" style="1" customWidth="1"/>
    <col min="10" max="10" width="29" customWidth="1"/>
    <col min="12" max="12" width="15.5703125" customWidth="1"/>
    <col min="13" max="13" width="25.140625" customWidth="1"/>
  </cols>
  <sheetData>
    <row r="2" spans="1:13" ht="33.75" customHeight="1">
      <c r="A2" s="28" t="s">
        <v>0</v>
      </c>
      <c r="B2" s="28"/>
      <c r="C2" s="28"/>
      <c r="D2" s="28"/>
      <c r="E2" s="28"/>
      <c r="F2" s="28"/>
    </row>
    <row r="3" spans="1:13" ht="33.75" customHeight="1">
      <c r="A3" s="28" t="s">
        <v>1</v>
      </c>
      <c r="B3" s="28"/>
      <c r="C3" s="28"/>
      <c r="D3" s="28"/>
      <c r="E3" s="28"/>
      <c r="F3" s="28"/>
    </row>
    <row r="4" spans="1:13" ht="21.75" customHeight="1">
      <c r="A4" s="2"/>
      <c r="B4" s="2"/>
      <c r="C4" s="2"/>
      <c r="D4" s="2"/>
      <c r="E4" s="2"/>
      <c r="F4" s="2"/>
    </row>
    <row r="5" spans="1:13" ht="39.6" customHeight="1">
      <c r="A5" s="9" t="s">
        <v>4</v>
      </c>
      <c r="B5" s="29">
        <f ca="1">TODAY()</f>
        <v>46149</v>
      </c>
      <c r="C5" s="30"/>
      <c r="D5" s="5"/>
      <c r="E5" s="9" t="s">
        <v>5</v>
      </c>
      <c r="F5" s="4"/>
    </row>
    <row r="6" spans="1:13" ht="9.75" customHeight="1">
      <c r="A6" s="2"/>
      <c r="B6" s="2"/>
      <c r="C6" s="2"/>
      <c r="D6" s="2"/>
      <c r="E6" s="2"/>
      <c r="F6" s="2"/>
    </row>
    <row r="7" spans="1:13" ht="35.450000000000003" customHeight="1">
      <c r="A7" s="31" t="s">
        <v>6</v>
      </c>
      <c r="B7" s="31"/>
      <c r="C7" s="31"/>
      <c r="D7" s="31"/>
      <c r="E7" s="31"/>
      <c r="F7" s="31"/>
    </row>
    <row r="8" spans="1:13" ht="35.450000000000003" customHeight="1">
      <c r="A8" s="9" t="s">
        <v>38</v>
      </c>
      <c r="B8" s="12" t="str">
        <f>J10</f>
        <v>TTH-NB0001</v>
      </c>
      <c r="C8" s="9" t="s">
        <v>8</v>
      </c>
      <c r="D8" s="11" t="str">
        <f>J16</f>
        <v>5CD534DZP5</v>
      </c>
      <c r="E8" s="9" t="s">
        <v>10</v>
      </c>
      <c r="F8" s="10"/>
    </row>
    <row r="9" spans="1:13" ht="35.450000000000003" customHeight="1">
      <c r="A9" s="9" t="s">
        <v>7</v>
      </c>
      <c r="B9" s="10" t="str">
        <f>J11</f>
        <v>HP Elitebook 640 G11</v>
      </c>
      <c r="C9" s="9" t="s">
        <v>9</v>
      </c>
      <c r="D9" s="17" t="str">
        <f>J13</f>
        <v>Core Ultra 5-125U</v>
      </c>
      <c r="E9" s="9" t="s">
        <v>11</v>
      </c>
      <c r="F9" s="10">
        <f>J14</f>
        <v>16</v>
      </c>
      <c r="L9" s="9" t="s">
        <v>17</v>
      </c>
      <c r="M9" s="33" t="s">
        <v>53</v>
      </c>
    </row>
    <row r="10" spans="1:13" ht="35.450000000000003" customHeight="1">
      <c r="A10" s="9" t="s">
        <v>14</v>
      </c>
      <c r="B10" s="10">
        <f>J12</f>
        <v>512</v>
      </c>
      <c r="C10" s="9" t="s">
        <v>12</v>
      </c>
      <c r="D10" s="10" t="s">
        <v>40</v>
      </c>
      <c r="E10" s="9" t="s">
        <v>43</v>
      </c>
      <c r="F10" s="10" t="str">
        <f>J15</f>
        <v>14-inch</v>
      </c>
      <c r="I10" s="13" t="s">
        <v>39</v>
      </c>
      <c r="J10" s="19" t="str">
        <f>VLOOKUP($M$9,'[3]User List'!$C$4:$K$500,4,FALSE)</f>
        <v>TTH-NB0001</v>
      </c>
      <c r="L10" s="13" t="s">
        <v>49</v>
      </c>
      <c r="M10" s="19" t="str">
        <f>VLOOKUP($M$9,'[3]User List'!$C$4:$K$500,3,FALSE)</f>
        <v>Jack.soi@amphenol-cbs.com</v>
      </c>
    </row>
    <row r="11" spans="1:13" ht="35.450000000000003" customHeight="1">
      <c r="A11" s="9" t="s">
        <v>15</v>
      </c>
      <c r="B11" s="10" t="s">
        <v>46</v>
      </c>
      <c r="C11" s="9" t="s">
        <v>13</v>
      </c>
      <c r="D11" s="10">
        <v>1</v>
      </c>
      <c r="E11" s="9" t="s">
        <v>48</v>
      </c>
      <c r="F11" s="10" t="s">
        <v>46</v>
      </c>
      <c r="I11" s="13" t="s">
        <v>7</v>
      </c>
      <c r="J11" s="13" t="s">
        <v>47</v>
      </c>
      <c r="L11" s="13" t="s">
        <v>18</v>
      </c>
      <c r="M11" s="19" t="str">
        <f>VLOOKUP($M$9,'[3]User List'!$C$4:$K$500,2,FALSE)</f>
        <v>NGUYỄN CÔNG SỎI</v>
      </c>
    </row>
    <row r="12" spans="1:13" ht="27" customHeight="1">
      <c r="A12" s="5"/>
      <c r="B12" s="5"/>
      <c r="C12" s="5"/>
      <c r="D12" s="5"/>
      <c r="E12" s="5"/>
      <c r="F12" s="5"/>
      <c r="I12" s="13" t="s">
        <v>14</v>
      </c>
      <c r="J12" s="13">
        <v>512</v>
      </c>
      <c r="L12" s="13" t="s">
        <v>19</v>
      </c>
      <c r="M12" s="19" t="str">
        <f>VLOOKUP($M$9,'[3]User List'!$C$4:$K$500,5,FALSE)</f>
        <v>Cơ sở hạ tầng/
Facility</v>
      </c>
    </row>
    <row r="13" spans="1:13" ht="40.5" customHeight="1">
      <c r="A13" s="31" t="s">
        <v>16</v>
      </c>
      <c r="B13" s="31"/>
      <c r="C13" s="31"/>
      <c r="D13" s="31"/>
      <c r="E13" s="31"/>
      <c r="F13" s="31"/>
      <c r="I13" s="13" t="s">
        <v>9</v>
      </c>
      <c r="J13" s="13" t="s">
        <v>41</v>
      </c>
    </row>
    <row r="14" spans="1:13" ht="39" customHeight="1">
      <c r="A14" s="9" t="s">
        <v>17</v>
      </c>
      <c r="B14" s="10" t="str">
        <f>M9</f>
        <v>CBS0015</v>
      </c>
      <c r="C14" s="9" t="s">
        <v>18</v>
      </c>
      <c r="D14" s="10" t="str">
        <f>M11</f>
        <v>NGUYỄN CÔNG SỎI</v>
      </c>
      <c r="E14" s="9" t="s">
        <v>19</v>
      </c>
      <c r="F14" s="10" t="str">
        <f>M12</f>
        <v>Cơ sở hạ tầng/
Facility</v>
      </c>
      <c r="I14" s="13" t="s">
        <v>42</v>
      </c>
      <c r="J14" s="13">
        <v>16</v>
      </c>
    </row>
    <row r="15" spans="1:13" ht="45.75" customHeight="1">
      <c r="A15" s="9" t="s">
        <v>20</v>
      </c>
      <c r="B15" s="10" t="str">
        <f>M10</f>
        <v>Jack.soi@amphenol-cbs.com</v>
      </c>
      <c r="C15" s="9" t="s">
        <v>21</v>
      </c>
      <c r="D15" s="10" t="s">
        <v>45</v>
      </c>
      <c r="E15" s="9" t="s">
        <v>48</v>
      </c>
      <c r="F15" s="10" t="s">
        <v>46</v>
      </c>
      <c r="I15" s="13" t="s">
        <v>43</v>
      </c>
      <c r="J15" s="13" t="s">
        <v>44</v>
      </c>
    </row>
    <row r="16" spans="1:13" ht="18.75" customHeight="1">
      <c r="A16" s="6"/>
      <c r="B16" s="6"/>
      <c r="C16" s="6"/>
      <c r="D16" s="6"/>
      <c r="E16" s="6"/>
      <c r="F16" s="6"/>
      <c r="I16" s="15" t="s">
        <v>50</v>
      </c>
      <c r="J16" s="19" t="str">
        <f>VLOOKUP($M$9,'[3]User List'!$C$4:$K$500,9,FALSE)</f>
        <v>5CD534DZP5</v>
      </c>
    </row>
    <row r="17" spans="1:6" ht="18" customHeight="1">
      <c r="A17" s="32" t="s">
        <v>24</v>
      </c>
      <c r="B17" s="32"/>
      <c r="C17" s="32"/>
      <c r="D17" s="32"/>
      <c r="E17" s="32"/>
      <c r="F17" s="32"/>
    </row>
    <row r="18" spans="1:6" ht="13.5" customHeight="1">
      <c r="A18" s="24"/>
      <c r="B18" s="24"/>
      <c r="C18" s="24"/>
      <c r="D18" s="24"/>
      <c r="E18" s="24"/>
      <c r="F18" s="24"/>
    </row>
    <row r="19" spans="1:6" ht="31.5" customHeight="1">
      <c r="A19" s="23" t="s">
        <v>32</v>
      </c>
      <c r="B19" s="23"/>
      <c r="C19" s="23"/>
      <c r="D19" s="23"/>
      <c r="E19" s="23"/>
      <c r="F19" s="23"/>
    </row>
    <row r="20" spans="1:6" ht="32.25" customHeight="1">
      <c r="A20" s="22" t="s">
        <v>33</v>
      </c>
      <c r="B20" s="22"/>
      <c r="C20" s="22"/>
      <c r="D20" s="22"/>
      <c r="E20" s="22"/>
      <c r="F20" s="22"/>
    </row>
    <row r="21" spans="1:6" ht="34.5" customHeight="1">
      <c r="A21" s="22" t="s">
        <v>34</v>
      </c>
      <c r="B21" s="22"/>
      <c r="C21" s="22"/>
      <c r="D21" s="22"/>
      <c r="E21" s="22"/>
      <c r="F21" s="22"/>
    </row>
    <row r="22" spans="1:6" ht="40.5" customHeight="1">
      <c r="A22" s="7" t="s">
        <v>25</v>
      </c>
      <c r="B22" s="25" t="s">
        <v>26</v>
      </c>
      <c r="C22" s="25"/>
      <c r="D22" s="25"/>
      <c r="E22" s="25"/>
      <c r="F22" s="25"/>
    </row>
    <row r="23" spans="1:6" ht="24" customHeight="1">
      <c r="A23" s="26" t="s">
        <v>27</v>
      </c>
      <c r="B23" s="27" t="s">
        <v>28</v>
      </c>
      <c r="C23" s="27"/>
      <c r="D23" s="27"/>
      <c r="E23" s="27"/>
      <c r="F23" s="27"/>
    </row>
    <row r="24" spans="1:6" ht="21" customHeight="1">
      <c r="A24" s="26"/>
      <c r="B24" s="27" t="s">
        <v>29</v>
      </c>
      <c r="C24" s="27"/>
      <c r="D24" s="27"/>
      <c r="E24" s="27"/>
      <c r="F24" s="27"/>
    </row>
    <row r="25" spans="1:6" ht="24" customHeight="1">
      <c r="A25" s="26"/>
      <c r="B25" s="27" t="s">
        <v>30</v>
      </c>
      <c r="C25" s="27"/>
      <c r="D25" s="27"/>
      <c r="E25" s="27"/>
      <c r="F25" s="27"/>
    </row>
    <row r="26" spans="1:6" ht="12" customHeight="1">
      <c r="A26" s="8"/>
      <c r="B26" s="8"/>
      <c r="C26" s="8"/>
      <c r="D26" s="8"/>
      <c r="E26" s="8"/>
      <c r="F26" s="8"/>
    </row>
    <row r="27" spans="1:6" ht="51.75" customHeight="1">
      <c r="A27" s="22" t="s">
        <v>37</v>
      </c>
      <c r="B27" s="22"/>
      <c r="C27" s="22"/>
      <c r="D27" s="22"/>
      <c r="E27" s="22"/>
      <c r="F27" s="22"/>
    </row>
    <row r="28" spans="1:6" ht="37.5" customHeight="1">
      <c r="A28" s="22" t="s">
        <v>35</v>
      </c>
      <c r="B28" s="22"/>
      <c r="C28" s="22"/>
      <c r="D28" s="22"/>
      <c r="E28" s="22"/>
      <c r="F28" s="22"/>
    </row>
    <row r="29" spans="1:6" ht="28.5" customHeight="1">
      <c r="A29" s="23" t="s">
        <v>36</v>
      </c>
      <c r="B29" s="23"/>
      <c r="C29" s="23"/>
      <c r="D29" s="23"/>
      <c r="E29" s="23"/>
      <c r="F29" s="23"/>
    </row>
    <row r="30" spans="1:6" ht="16.5" customHeight="1"/>
    <row r="31" spans="1:6" ht="30.6" customHeight="1">
      <c r="A31" s="20" t="s">
        <v>2</v>
      </c>
      <c r="B31" s="20"/>
      <c r="C31" s="20" t="s">
        <v>3</v>
      </c>
      <c r="D31" s="20"/>
      <c r="E31" s="20"/>
      <c r="F31" s="20"/>
    </row>
    <row r="32" spans="1:6" ht="24" customHeight="1">
      <c r="A32" s="20" t="s">
        <v>31</v>
      </c>
      <c r="B32" s="20"/>
      <c r="C32" s="20" t="s">
        <v>22</v>
      </c>
      <c r="D32" s="20"/>
      <c r="E32" s="20" t="s">
        <v>23</v>
      </c>
      <c r="F32" s="20"/>
    </row>
    <row r="33" spans="1:6" ht="24" customHeight="1">
      <c r="A33" s="20"/>
      <c r="B33" s="20"/>
      <c r="C33" s="20"/>
      <c r="D33" s="20"/>
      <c r="E33" s="21"/>
      <c r="F33" s="21"/>
    </row>
    <row r="34" spans="1:6">
      <c r="A34" s="20"/>
      <c r="B34" s="20"/>
      <c r="C34" s="20"/>
      <c r="D34" s="20"/>
      <c r="E34" s="21"/>
      <c r="F34" s="21"/>
    </row>
    <row r="35" spans="1:6" ht="44.25" customHeight="1">
      <c r="A35" s="20"/>
      <c r="B35" s="20"/>
      <c r="C35" s="20"/>
      <c r="D35" s="20"/>
      <c r="E35" s="21"/>
      <c r="F35" s="21"/>
    </row>
    <row r="37" spans="1:6">
      <c r="A37" s="3"/>
      <c r="B37" s="3"/>
      <c r="C37" s="3"/>
      <c r="D37" s="3"/>
      <c r="E37" s="3"/>
      <c r="F37" s="3"/>
    </row>
  </sheetData>
  <mergeCells count="26">
    <mergeCell ref="A23:A25"/>
    <mergeCell ref="B23:F23"/>
    <mergeCell ref="B24:F24"/>
    <mergeCell ref="B25:F25"/>
    <mergeCell ref="A2:F2"/>
    <mergeCell ref="A3:F3"/>
    <mergeCell ref="B5:C5"/>
    <mergeCell ref="A7:F7"/>
    <mergeCell ref="A13:F13"/>
    <mergeCell ref="A17:F17"/>
    <mergeCell ref="A18:F18"/>
    <mergeCell ref="A19:F19"/>
    <mergeCell ref="A20:F20"/>
    <mergeCell ref="A21:F21"/>
    <mergeCell ref="B22:F22"/>
    <mergeCell ref="A33:B35"/>
    <mergeCell ref="C33:D35"/>
    <mergeCell ref="E33:F35"/>
    <mergeCell ref="A27:F27"/>
    <mergeCell ref="A28:F28"/>
    <mergeCell ref="A29:F29"/>
    <mergeCell ref="A31:B31"/>
    <mergeCell ref="C31:F31"/>
    <mergeCell ref="A32:B32"/>
    <mergeCell ref="C32:D32"/>
    <mergeCell ref="E32:F32"/>
  </mergeCells>
  <printOptions horizontalCentered="1"/>
  <pageMargins left="0.23622047244094499" right="0.23622047244094499" top="0.74803149606299202" bottom="0.74803149606299202" header="0.31496062992126" footer="0.31496062992126"/>
  <pageSetup paperSize="9" scale="74" orientation="portrait" blackAndWhite="1"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BG-PC</vt:lpstr>
      <vt:lpstr>Infomation PC</vt:lpstr>
      <vt:lpstr>BG-PC (2)</vt:lpstr>
      <vt:lpstr>'BG-PC'!Print_Area</vt:lpstr>
      <vt:lpstr>'BG-PC (2)'!Print_Area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Phong, Levi</dc:creator>
  <cp:lastModifiedBy>Phong, Levi</cp:lastModifiedBy>
  <cp:lastPrinted>2026-05-05T03:04:29Z</cp:lastPrinted>
  <dcterms:created xsi:type="dcterms:W3CDTF">2026-01-08T03:02:45Z</dcterms:created>
  <dcterms:modified xsi:type="dcterms:W3CDTF">2026-05-07T04:34:39Z</dcterms:modified>
</cp:coreProperties>
</file>